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Brant Marvel\Downloads\"/>
    </mc:Choice>
  </mc:AlternateContent>
  <xr:revisionPtr revIDLastSave="0" documentId="8_{F6390799-FA4F-499F-9C37-1ADE2D1AFE26}" xr6:coauthVersionLast="47" xr6:coauthVersionMax="47" xr10:uidLastSave="{00000000-0000-0000-0000-000000000000}"/>
  <bookViews>
    <workbookView xWindow="-108" yWindow="-108" windowWidth="23256" windowHeight="13896" xr2:uid="{00000000-000D-0000-FFFF-FFFF00000000}"/>
  </bookViews>
  <sheets>
    <sheet name="Dashboard" sheetId="23" r:id="rId1"/>
    <sheet name="TotalSales" sheetId="18" r:id="rId2"/>
    <sheet name="CountryBarChart" sheetId="21" r:id="rId3"/>
    <sheet name="Top5Customers"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fileRecoveryPr repairLoad="1"/>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<sst xmlns="http://schemas.openxmlformats.org/spreadsheetml/2006/main" count="11132" uniqueCount="6221">
  <si>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</si>
  <si>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</si>
  <si>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</si>
  <si>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</si>
  <si>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</si>
  <si>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</si>
  <si>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</si>
  <si>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</si>
  <si>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</si>
  <si>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</si>
  <si>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</si>
  <si>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</si>
  <si>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</si>
  <si>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</si>
  <si>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</si>
  <si>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</si>
  <si>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</si>
  <si>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</si>
  <si>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</si>
  <si>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</si>
  <si>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</si>
  <si>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</si>
  <si>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</si>
  <si>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</si>
  <si>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</si>
  <si>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</si>
  <si>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</si>
  <si>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</si>
  <si>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</si>
  <si>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</si>
  <si>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</si>
  <si>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</si>
  <si>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</si>
  <si>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</si>
  <si>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</si>
  <si>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</si>
  <si>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</si>
  <si>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</si>
  <si>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</si>
  <si>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</si>
  <si>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</si>
  <si>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</si>
  <si>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</si>
  <si>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</si>
  <si>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</si>
  <si>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</si>
  <si>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</si>
  <si>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</si>
  <si>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</si>
  <si>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</si>
  <si>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</si>
  <si>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</si>
  <si>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</si>
  <si>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</si>
  <si>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</si>
  <si>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</si>
  <si>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</si>
  <si>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</si>
  <si>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</si>
  <si>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</si>
  <si>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</si>
  <si>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</si>
  <si>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</si>
  <si>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</si>
  <si>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</si>
  <si>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</si>
  <si>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</si>
  <si>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</si>
  <si>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</si>
  <si>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</si>
  <si>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</si>
  <si>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</si>
  <si>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</si>
  <si>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</si>
  <si>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</si>
  <si>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</si>
  <si>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</si>
  <si>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</si>
  <si>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</si>
  <si>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</si>
  <si>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</si>
  <si>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</si>
  <si>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</si>
  <si>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</si>
  <si>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</si>
  <si>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</si>
  <si>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</si>
  <si>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</si>
  <si>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</si>
  <si>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</si>
  <si>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</si>
  <si>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</si>
  <si>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</si>
  <si>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</si>
  <si>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</si>
  <si>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</si>
  <si>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</si>
  <si>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</si>
  <si>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</si>
  <si>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</si>
  <si>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</si>
  <si>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</si>
  <si>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</si>
  <si>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</si>
  <si>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</si>
  <si>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</si>
  <si>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</si>
  <si>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</si>
  <si>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</si>
  <si>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</si>
  <si>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</si>
  <si>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</si>
  <si>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</si>
  <si>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</si>
  <si>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</si>
  <si>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</si>
  <si>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</si>
  <si>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</si>
  <si>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</si>
  <si>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</si>
  <si>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</si>
  <si>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</si>
  <si>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</si>
  <si>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</si>
  <si>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</si>
  <si>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</si>
  <si>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</si>
  <si>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</si>
  <si>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</si>
  <si>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</si>
  <si>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</si>
  <si>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</si>
  <si>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</si>
  <si>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</si>
  <si>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</si>
  <si>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</si>
  <si>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</si>
  <si>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</si>
  <si>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</si>
  <si>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</si>
  <si>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</si>
  <si>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</si>
  <si>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</si>
  <si>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</si>
  <si>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</si>
  <si>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</si>
  <si>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</si>
  <si>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</si>
  <si>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</si>
  <si>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</si>
  <si>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</si>
  <si>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</si>
  <si>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</si>
  <si>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</si>
  <si>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</si>
  <si>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</si>
  <si>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</si>
  <si>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</si>
  <si>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</si>
  <si>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</si>
  <si>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</si>
  <si>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</si>
  <si>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</si>
  <si>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</si>
  <si>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</si>
  <si>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</si>
  <si>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</si>
  <si>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</si>
  <si>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</si>
  <si>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</si>
  <si>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</si>
  <si>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</si>
  <si>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</si>
  <si>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</si>
  <si>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</si>
  <si>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</si>
  <si>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</si>
  <si>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</si>
  <si>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</si>
  <si>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</si>
  <si>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</si>
  <si>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</si>
  <si>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</si>
  <si>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</si>
  <si>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</si>
  <si>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</si>
  <si>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</si>
  <si>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</si>
  <si>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</si>
  <si>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</si>
  <si>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</si>
  <si>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</si>
  <si>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</si>
  <si>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</si>
  <si>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</si>
  <si>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</si>
  <si>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</si>
  <si>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</si>
  <si>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</si>
  <si>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</si>
  <si>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</si>
  <si>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</si>
  <si>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</si>
  <si>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</si>
  <si>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</si>
  <si>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</si>
  <si>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</si>
  <si>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</si>
  <si>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</si>
  <si>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</si>
  <si>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</si>
  <si>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</si>
  <si>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</si>
  <si>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</si>
  <si>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</si>
  <si>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</si>
  <si>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</si>
  <si>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</si>
  <si>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</si>
  <si>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</si>
  <si>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</si>
  <si>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</si>
  <si>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</si>
  <si>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</si>
  <si>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</si>
  <si>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</si>
  <si>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</si>
  <si>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</si>
  <si>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</si>
  <si>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</si>
  <si>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</si>
  <si>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</si>
  <si>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</si>
  <si>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</si>
  <si>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</si>
  <si>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</si>
  <si>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</si>
  <si>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</si>
  <si>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</si>
  <si>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</si>
  <si>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</si>
  <si>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</si>
  <si>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</si>
  <si>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</si>
  <si>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</si>
  <si>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</si>
  <si>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</si>
  <si>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</si>
  <si>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</si>
  <si>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</si>
  <si>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</si>
  <si>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</si>
  <si>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</si>
  <si>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</si>
  <si>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</si>
  <si>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</si>
  <si>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</si>
  <si>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</si>
  <si>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</si>
  <si>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</si>
  <si>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</si>
  <si>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</si>
  <si>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</si>
  <si>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</si>
  <si>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</si>
  <si>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</si>
  <si>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</si>
  <si>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</si>
  <si>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</si>
  <si>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</si>
  <si>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</si>
  <si>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</si>
  <si>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</si>
  <si>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</si>
  <si>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</si>
  <si>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</si>
  <si>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</si>
  <si>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</si>
  <si>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</si>
  <si>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</si>
  <si>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</si>
  <si>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</si>
  <si>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</si>
  <si>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</si>
  <si>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</si>
  <si>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</si>
  <si>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</si>
  <si>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</si>
  <si>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</si>
  <si>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</si>
  <si>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</si>
  <si>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</si>
  <si>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</si>
  <si>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</si>
  <si>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</si>
  <si>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</si>
  <si>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</si>
  <si>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</si>
  <si>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</si>
  <si>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</si>
  <si>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</si>
  <si>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</si>
  <si>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</si>
  <si>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</si>
  <si>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</si>
  <si>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</si>
  <si>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</si>
  <si>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</si>
  <si>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</si>
  <si>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</si>
  <si>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</si>
  <si>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</si>
  <si>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</si>
  <si>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</si>
  <si>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</si>
  <si>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</si>
  <si>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</si>
  <si>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</si>
  <si>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</si>
  <si>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</si>
  <si>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</si>
  <si>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</si>
  <si>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</si>
  <si>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</si>
  <si>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</si>
  <si>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</si>
  <si>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</si>
  <si>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</si>
  <si>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</si>
  <si>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</si>
  <si>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</si>
  <si>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</si>
  <si>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</si>
  <si>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</si>
  <si>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</si>
  <si>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</si>
  <si>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</si>
  <si>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</si>
  <si>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</si>
  <si>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</si>
  <si>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</si>
  <si>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</si>
  <si>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</si>
  <si>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</si>
  <si>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</si>
  <si>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</si>
  <si>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</si>
  <si>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</si>
  <si>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</si>
  <si>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</si>
  <si>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</si>
  <si>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</si>
  <si>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</si>
  <si>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</si>
  <si>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</si>
  <si>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</si>
  <si>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</si>
  <si>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</si>
  <si>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</si>
  <si>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</si>
  <si>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</si>
  <si>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</si>
  <si>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</si>
  <si>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</si>
  <si>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</si>
  <si>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</si>
  <si>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</si>
  <si>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</si>
  <si>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</si>
  <si>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</si>
  <si>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</si>
  <si>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</si>
  <si>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</si>
  <si>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</si>
  <si>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</si>
  <si>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</si>
  <si>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</si>
  <si>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</si>
  <si>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</si>
  <si>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</si>
  <si>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</si>
  <si>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</si>
  <si>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</si>
  <si>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</si>
  <si>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</si>
  <si>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</si>
  <si>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</si>
  <si>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</si>
  <si>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</si>
  <si>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</si>
  <si>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</si>
  <si>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</si>
  <si>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</si>
  <si>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</si>
  <si>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</si>
  <si>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</si>
  <si>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</si>
  <si>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</si>
  <si>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</si>
  <si>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</si>
  <si>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</si>
  <si>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</si>
  <si>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</si>
  <si>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</si>
  <si>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</si>
  <si>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</si>
  <si>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</si>
  <si>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</si>
  <si>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</si>
  <si>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</si>
  <si>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</si>
  <si>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</si>
  <si>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</si>
  <si>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</si>
  <si>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</si>
  <si>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</si>
  <si>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</si>
  <si>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</si>
  <si>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</si>
  <si>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</si>
  <si>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</si>
  <si>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</si>
  <si>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</si>
  <si>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</si>
  <si>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</si>
  <si>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</si>
  <si>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</si>
  <si>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</si>
  <si>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</si>
  <si>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</si>
  <si>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</si>
  <si>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</si>
  <si>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</si>
  <si>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</si>
  <si>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</si>
  <si>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</si>
  <si>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</si>
  <si>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</si>
  <si>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</si>
  <si>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</si>
  <si>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</si>
  <si>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</si>
  <si>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</si>
  <si>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</si>
  <si>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</si>
  <si>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</si>
  <si>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</si>
  <si>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</si>
  <si>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</si>
  <si>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</si>
  <si>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</si>
  <si>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</si>
  <si>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</si>
  <si>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</si>
  <si>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</si>
  <si>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</si>
  <si>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</si>
  <si>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</si>
  <si>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</si>
  <si>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</si>
  <si>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</si>
  <si>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</si>
  <si>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</si>
  <si>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</si>
  <si>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</si>
  <si>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</si>
  <si>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</si>
  <si>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</si>
  <si>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</si>
  <si>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</si>
  <si>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</si>
  <si>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</si>
  <si>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</si>
  <si>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</si>
  <si>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</si>
  <si>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</si>
  <si>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</si>
  <si>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</si>
  <si>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</si>
  <si>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</si>
  <si>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</si>
  <si>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</si>
  <si>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</si>
  <si>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</si>
  <si>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</si>
  <si>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</si>
  <si>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</si>
  <si>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</si>
  <si>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</si>
  <si>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</si>
  <si>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</si>
  <si>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</si>
  <si>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</si>
  <si>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</si>
  <si>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</si>
  <si>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</si>
  <si>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</si>
  <si>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</si>
  <si>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</si>
  <si>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</si>
  <si>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</si>
  <si>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</si>
  <si>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</si>
  <si>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</si>
  <si>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</si>
  <si>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</si>
  <si>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</si>
  <si>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</si>
  <si>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</si>
  <si>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</si>
  <si>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</si>
  <si>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</si>
  <si>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</si>
  <si>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</si>
  <si>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</si>
  <si>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</si>
  <si>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</si>
  <si>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</si>
  <si>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</si>
  <si>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</si>
  <si>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</si>
  <si>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</si>
  <si>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</si>
  <si>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</si>
  <si>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</si>
  <si>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</si>
  <si>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</si>
  <si>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</si>
  <si>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</si>
  <si>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</si>
  <si>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</si>
  <si>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</si>
  <si>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</si>
  <si>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</si>
  <si>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</si>
  <si>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</si>
  <si>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</si>
  <si>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</si>
  <si>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</si>
  <si>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</si>
  <si>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</si>
  <si>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</si>
  <si>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</si>
  <si>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</si>
  <si>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</si>
  <si>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</si>
  <si>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</si>
  <si>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</si>
  <si>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</si>
  <si>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</si>
  <si>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</si>
  <si>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</si>
  <si>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</si>
  <si>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</si>
  <si>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</si>
  <si>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</si>
  <si>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</si>
  <si>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</si>
  <si>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</si>
  <si>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</si>
  <si>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</si>
  <si>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</si>
  <si>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</si>
  <si>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</si>
  <si>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</si>
  <si>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</si>
  <si>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</si>
  <si>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</si>
  <si>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</si>
  <si>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</si>
  <si>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</si>
  <si>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</si>
  <si>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</si>
  <si>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</si>
  <si>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</si>
  <si>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</si>
  <si>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</si>
  <si>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</si>
  <si>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</si>
  <si>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</si>
  <si>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</si>
  <si>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</si>
  <si>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</si>
  <si>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</si>
  <si>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</si>
  <si>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</si>
  <si>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</si>
  <si>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</si>
  <si>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</si>
  <si>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</si>
  <si>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</si>
  <si>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</si>
  <si>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</si>
  <si>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</si>
  <si>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</si>
  <si>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</si>
  <si>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</si>
  <si>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</si>
  <si>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</si>
  <si>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</si>
  <si>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</si>
  <si>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</si>
  <si>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</si>
  <si>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</si>
  <si>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</si>
  <si>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</si>
  <si>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</si>
  <si>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</si>
  <si>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</si>
  <si>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</si>
  <si>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</si>
  <si>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</si>
  <si>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</si>
  <si>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</si>
  <si>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</si>
  <si>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</si>
  <si>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</si>
  <si>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</si>
  <si>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</si>
  <si>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</si>
  <si>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</si>
  <si>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</si>
  <si>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</si>
  <si>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</si>
  <si>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</si>
  <si>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</si>
  <si>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</si>
  <si>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</si>
  <si>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</si>
  <si>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</si>
  <si>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</si>
  <si>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</si>
  <si>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</si>
  <si>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</si>
  <si>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</si>
  <si>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</si>
  <si>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</si>
  <si>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</si>
  <si>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</si>
  <si>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</si>
  <si>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</si>
  <si>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</si>
  <si>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</si>
  <si>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</si>
  <si>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</si>
  <si>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</si>
  <si>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</si>
  <si>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</si>
  <si>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</si>
  <si>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</si>
  <si>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</si>
  <si>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</si>
  <si>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</si>
  <si>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</si>
  <si>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</si>
  <si>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</si>
  <si>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</si>
  <si>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</si>
  <si>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</si>
  <si>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</si>
  <si>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</si>
  <si>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</si>
  <si>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</si>
  <si>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</si>
  <si>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</si>
  <si>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</si>
  <si>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</si>
  <si>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</si>
  <si>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</si>
  <si>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</si>
  <si>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</si>
  <si>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</si>
  <si>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</si>
  <si>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</si>
  <si>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</si>
  <si>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</si>
  <si>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</si>
  <si>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</si>
  <si>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</si>
  <si>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</si>
  <si>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</si>
  <si>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</si>
  <si>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</si>
  <si>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</si>
  <si>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</si>
  <si>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</si>
  <si>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</si>
  <si>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</si>
  <si>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</si>
  <si>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</si>
  <si>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</si>
  <si>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</si>
  <si>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</si>
  <si>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</si>
  <si>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</si>
  <si>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</si>
  <si>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</si>
  <si>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</si>
  <si>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</si>
  <si>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</si>
  <si>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</si>
  <si>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</si>
  <si>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</si>
  <si>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</si>
  <si>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</si>
  <si>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</si>
  <si>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</si>
  <si>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</si>
  <si>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</si>
  <si>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</si>
  <si>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</si>
  <si>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</si>
  <si>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</si>
  <si>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</si>
  <si>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</si>
  <si>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</si>
  <si>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</si>
  <si>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</si>
  <si>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</si>
  <si>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</si>
  <si>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</si>
  <si>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</si>
  <si>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</si>
  <si>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</si>
  <si>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</si>
  <si>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</si>
  <si>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</si>
  <si>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</si>
  <si>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</si>
  <si>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</si>
  <si>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</si>
  <si>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</si>
  <si>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</si>
  <si>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</si>
  <si>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</si>
  <si>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</si>
  <si>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</si>
  <si>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</si>
  <si>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</si>
  <si>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</si>
  <si>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</si>
  <si>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</si>
  <si>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</si>
  <si>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</si>
  <si>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</si>
  <si>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</si>
  <si>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</si>
  <si>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</si>
  <si>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</si>
  <si>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</si>
  <si>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</si>
  <si>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</si>
  <si>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</si>
  <si>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</si>
  <si>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</si>
  <si>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</si>
  <si>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</si>
  <si>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</si>
  <si>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</si>
  <si>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</si>
  <si>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</si>
  <si>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</si>
  <si>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</si>
  <si>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</si>
  <si>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</si>
  <si>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</si>
  <si>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</si>
  <si>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</si>
  <si>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</si>
  <si>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</si>
  <si>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</si>
  <si>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</si>
  <si>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</si>
  <si>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</si>
  <si>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</si>
  <si>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</si>
  <si>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</si>
  <si>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</si>
  <si>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</si>
  <si>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</si>
  <si>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</si>
  <si>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</si>
  <si>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</si>
  <si>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</si>
  <si>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</si>
  <si>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</si>
  <si>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</si>
  <si>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</si>
  <si>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</si>
  <si>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</si>
  <si>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</si>
  <si>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</si>
  <si>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</si>
  <si>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</si>
  <si>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</si>
  <si>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</si>
  <si>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</si>
  <si>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</si>
  <si>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</si>
  <si>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</si>
  <si>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</si>
  <si>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</si>
  <si>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</si>
  <si>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</si>
  <si>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</si>
  <si>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</si>
  <si>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</si>
  <si>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</si>
  <si>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</si>
  <si>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</si>
  <si>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</si>
  <si>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</si>
  <si>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</si>
  <si>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</si>
  <si>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</si>
  <si>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</si>
  <si>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</si>
  <si>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</si>
  <si>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</si>
  <si>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</si>
  <si>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</si>
  <si>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</si>
  <si>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</si>
  <si>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</si>
  <si>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</si>
  <si>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</si>
  <si>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</si>
  <si>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</si>
  <si>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</si>
  <si>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</si>
  <si>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</si>
  <si>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</si>
  <si>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</si>
  <si>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</si>
  <si>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</si>
  <si>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</si>
  <si>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</si>
  <si>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</si>
  <si>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</si>
  <si>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</si>
  <si>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</si>
  <si>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</si>
  <si>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</si>
  <si>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</si>
  <si>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</si>
  <si>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</si>
  <si>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</si>
  <si>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</si>
  <si>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</si>
  <si>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</si>
  <si>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</si>
  <si>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</si>
  <si>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</si>
  <si>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</si>
  <si>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</si>
  <si>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</si>
  <si>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</si>
  <si>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</si>
  <si>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</si>
  <si>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</si>
  <si>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</si>
  <si>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</si>
  <si>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</si>
  <si>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</si>
  <si>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</si>
  <si>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</si>
  <si>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</si>
  <si>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</si>
  <si>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</si>
  <si>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</si>
  <si>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</si>
  <si>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</si>
  <si>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</si>
  <si>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</si>
  <si>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</si>
  <si>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</si>
  <si>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</si>
  <si>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</si>
  <si>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</si>
  <si>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</si>
  <si>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</si>
  <si>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</si>
  <si>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</si>
  <si>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</si>
  <si>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</si>
  <si>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</si>
  <si>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</si>
  <si>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</si>
  <si>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</si>
  <si>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</si>
  <si>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</si>
  <si>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</si>
  <si>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</si>
  <si>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</si>
  <si>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</si>
  <si>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</si>
  <si>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</si>
  <si>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</si>
  <si>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</si>
  <si>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</si>
  <si>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</si>
  <si>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</si>
  <si>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</si>
  <si>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</si>
  <si>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</si>
  <si>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</si>
  <si>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</si>
  <si>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</si>
  <si>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</si>
  <si>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</si>
  <si>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</si>
  <si>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</si>
  <si>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</si>
  <si>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</si>
  <si>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</si>
  <si>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</si>
  <si>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</si>
  <si>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</si>
  <si>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</si>
  <si>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</si>
  <si>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</si>
  <si>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</si>
  <si>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</si>
  <si>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</si>
  <si>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</si>
  <si>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</si>
  <si>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</si>
  <si>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</si>
  <si>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</si>
  <si>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</si>
  <si>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</si>
  <si>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</si>
  <si>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</si>
  <si>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</si>
  <si>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</si>
  <si>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</si>
  <si>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</si>
  <si>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</si>
  <si>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</si>
  <si>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</si>
  <si>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</si>
  <si>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</si>
  <si>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</si>
  <si>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</si>
  <si>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</si>
  <si>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</si>
  <si>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</si>
  <si>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</si>
  <si>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</si>
  <si>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</si>
  <si>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</si>
  <si>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</si>
  <si>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</si>
  <si>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</si>
  <si>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</si>
  <si>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</si>
  <si>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</si>
  <si>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</si>
  <si>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</si>
  <si>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</si>
  <si>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</si>
  <si>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</si>
  <si>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</si>
  <si>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</si>
  <si>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</si>
  <si>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</si>
  <si>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</si>
  <si>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</si>
  <si>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</si>
  <si>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</si>
  <si>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</si>
  <si>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</si>
  <si>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</si>
  <si>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</si>
  <si>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</si>
  <si>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</si>
  <si>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</si>
  <si>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</si>
  <si>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</si>
  <si>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</si>
  <si>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</si>
  <si>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</si>
  <si>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</si>
  <si>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</si>
  <si>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</si>
  <si>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</si>
  <si>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</si>
  <si>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</si>
  <si>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</si>
  <si>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</si>
  <si>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</si>
  <si>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</si>
  <si>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</si>
  <si>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</si>
  <si>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</si>
  <si>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</si>
  <si>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</si>
  <si>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</si>
  <si>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</si>
  <si>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</si>
  <si>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</si>
  <si>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</si>
  <si>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</si>
  <si>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</si>
  <si>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</si>
  <si>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</si>
  <si>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</si>
  <si>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</si>
  <si>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</si>
  <si>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</si>
  <si>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</si>
  <si>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</si>
  <si>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</si>
  <si>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</si>
  <si>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</si>
  <si>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</si>
  <si>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</si>
  <si>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</si>
  <si>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</si>
  <si>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</si>
  <si>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</si>
  <si>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</si>
  <si>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</si>
  <si>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</si>
  <si>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</si>
  <si>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</si>
  <si>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</si>
  <si>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</si>
  <si>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</si>
  <si>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</si>
  <si>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</si>
  <si>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</si>
  <si>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</si>
  <si>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</si>
  <si>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</si>
  <si>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</si>
  <si>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</si>
  <si>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</si>
  <si>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</si>
  <si>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</si>
  <si>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</si>
  <si>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</si>
  <si>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</si>
  <si>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</si>
  <si>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</si>
  <si>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</si>
  <si>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</si>
  <si>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</si>
  <si>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</si>
  <si>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</si>
  <si>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</si>
  <si>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</si>
  <si>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</si>
  <si>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</si>
  <si>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</si>
  <si>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</si>
  <si>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</si>
  <si>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</si>
  <si>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</si>
  <si>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</si>
  <si>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</si>
  <si>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</si>
  <si>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</si>
  <si>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</si>
  <si>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</si>
  <si>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</si>
  <si>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</si>
  <si>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</si>
  <si>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</si>
  <si>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</si>
  <si>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</si>
  <si>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</si>
  <si>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</si>
  <si>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</si>
  <si>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</si>
  <si>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</si>
  <si>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</si>
  <si>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</si>
  <si>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</si>
  <si>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</si>
  <si>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</si>
  <si>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</si>
  <si>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</si>
  <si>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</si>
  <si>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</si>
  <si>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</si>
  <si>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</si>
  <si>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</si>
  <si>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</si>
  <si>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</si>
  <si>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</si>
  <si>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</si>
  <si>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</si>
  <si>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</si>
  <si>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</si>
  <si>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</si>
  <si>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</si>
  <si>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</si>
  <si>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</si>
  <si>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</si>
  <si>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</si>
  <si>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</si>
  <si>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</si>
  <si>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</si>
  <si>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</si>
  <si>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</si>
  <si>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</si>
  <si>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</si>
  <si>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</si>
  <si>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</si>
  <si>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</si>
  <si>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</si>
  <si>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</si>
  <si>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</si>
  <si>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</si>
  <si>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</si>
  <si>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</si>
  <si>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</si>
  <si>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</si>
  <si>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</si>
  <si>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</si>
  <si>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</si>
  <si>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</si>
  <si>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</si>
  <si>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</si>
  <si>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</si>
  <si>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</si>
  <si>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</si>
  <si>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</si>
  <si>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</si>
  <si>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</si>
  <si>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</si>
  <si>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</si>
  <si>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</si>
  <si>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</si>
  <si>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</si>
  <si>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</si>
  <si>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</si>
  <si>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</si>
  <si>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</si>
  <si>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</si>
  <si>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</si>
  <si>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</si>
  <si>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</si>
  <si>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</si>
  <si>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</si>
  <si>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</si>
  <si>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</si>
  <si>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</si>
  <si>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</si>
  <si>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</si>
  <si>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</si>
  <si>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</si>
  <si>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</si>
  <si>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</si>
  <si>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</si>
  <si>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</si>
  <si>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</si>
  <si>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</si>
  <si>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</si>
  <si>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</si>
  <si>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</si>
  <si>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</si>
  <si>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</si>
  <si>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</si>
  <si>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</si>
  <si>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</si>
  <si>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</si>
  <si>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</si>
  <si>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</si>
  <si>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</si>
  <si>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</si>
  <si>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</si>
  <si>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</si>
  <si>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</si>
  <si>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</si>
  <si>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</si>
  <si>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</si>
  <si>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</si>
  <si>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</si>
  <si>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</si>
  <si>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</si>
  <si>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</si>
  <si>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</si>
  <si>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</si>
  <si>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</si>
  <si>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</si>
  <si>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</si>
  <si>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</si>
  <si>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</si>
  <si>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</si>
  <si>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</si>
  <si>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</si>
  <si>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</si>
  <si>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</si>
  <si>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</si>
  <si>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</si>
  <si>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</si>
  <si>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</si>
  <si>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</si>
  <si>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</si>
  <si>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</si>
  <si>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</si>
  <si>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</si>
  <si>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</si>
  <si>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</si>
  <si>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</si>
  <si>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</si>
  <si>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</si>
  <si>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</si>
  <si>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</si>
  <si>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</si>
  <si>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</si>
  <si>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</si>
  <si>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</si>
  <si>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</si>
  <si>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</si>
  <si>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</si>
  <si>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</si>
  <si>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</si>
  <si>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</si>
  <si>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</si>
  <si>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</si>
  <si>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</si>
  <si>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</si>
  <si>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</si>
  <si>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</si>
  <si>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</si>
  <si>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</si>
  <si>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</si>
  <si>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</si>
  <si>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</si>
  <si>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</si>
  <si>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</si>
  <si>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</si>
  <si>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</si>
  <si>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</si>
  <si>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</si>
  <si>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</si>
  <si>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</si>
  <si>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</si>
  <si>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</si>
  <si>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</si>
  <si>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</si>
  <si>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</si>
  <si>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</si>
  <si>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</si>
  <si>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</si>
  <si>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</si>
  <si>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</si>
  <si>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</si>
  <si>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</si>
  <si>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</si>
  <si>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</si>
  <si>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</si>
  <si>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</si>
  <si>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</si>
  <si>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</si>
  <si>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</si>
  <si>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</si>
  <si>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</si>
  <si>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</si>
  <si>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</si>
  <si>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</si>
  <si>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</si>
  <si>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</si>
  <si>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</si>
  <si>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</si>
  <si>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</si>
  <si>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</si>
  <si>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</si>
  <si>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</si>
  <si>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</si>
  <si>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</si>
  <si>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</si>
  <si>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</si>
  <si>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</si>
  <si>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</si>
  <si>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</si>
  <si>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</si>
  <si>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</si>
  <si>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</si>
  <si>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</si>
  <si>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</si>
  <si>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</si>
  <si>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</si>
  <si>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</si>
  <si>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</si>
  <si>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</si>
  <si>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</si>
  <si>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</si>
  <si>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</si>
  <si>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</si>
  <si>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</si>
  <si>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</si>
  <si>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</si>
  <si>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</si>
  <si>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</si>
  <si>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</si>
  <si>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</si>
  <si>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</si>
  <si>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</si>
  <si>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</si>
  <si>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</si>
  <si>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</si>
  <si>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</si>
  <si>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</si>
  <si>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</si>
  <si>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</si>
  <si>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</si>
  <si>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</si>
  <si>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</si>
  <si>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</si>
  <si>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</si>
  <si>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</si>
  <si>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</si>
  <si>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</si>
  <si>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</si>
  <si>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</si>
  <si>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</si>
  <si>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</si>
  <si>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</si>
  <si>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</si>
  <si>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</si>
  <si>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</si>
  <si>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</si>
  <si>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</si>
  <si>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</si>
  <si>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</si>
  <si>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</si>
  <si>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</si>
  <si>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</si>
  <si>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</si>
  <si>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</si>
  <si>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</si>
  <si>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</si>
  <si>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</si>
  <si>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</si>
  <si>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</si>
  <si>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</si>
  <si>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</si>
  <si>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</si>
  <si>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</si>
  <si>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</si>
  <si>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</si>
  <si>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</si>
  <si>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</si>
  <si>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</si>
  <si>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</si>
  <si>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</si>
  <si>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</si>
  <si>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</si>
  <si>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</si>
  <si>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</si>
  <si>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</si>
  <si>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</si>
  <si>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</si>
  <si>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</si>
  <si>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</si>
  <si>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</si>
  <si>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</si>
  <si>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</si>
  <si>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</si>
  <si>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</si>
  <si>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</si>
  <si>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</si>
  <si>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</si>
  <si>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</si>
  <si>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</si>
  <si>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</si>
  <si>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</si>
  <si>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</si>
  <si>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</si>
  <si>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</si>
  <si>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</si>
  <si>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</si>
  <si>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</si>
  <si>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</si>
  <si>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</si>
  <si>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</si>
  <si>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</si>
  <si>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</si>
  <si>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</si>
  <si>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</si>
  <si>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</si>
  <si>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</si>
  <si>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</si>
  <si>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</si>
  <si>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</si>
  <si>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</si>
  <si>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</si>
  <si>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</si>
  <si>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</si>
  <si>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</si>
  <si>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</si>
  <si>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</si>
  <si>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</si>
  <si>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</si>
  <si>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</si>
  <si>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</si>
  <si>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</si>
  <si>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</si>
  <si>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</si>
  <si>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</si>
  <si>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</si>
  <si>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</si>
  <si>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</si>
  <si>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</si>
  <si>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</si>
  <si>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</si>
  <si>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</si>
  <si>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</si>
  <si>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</si>
  <si>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</si>
  <si>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</si>
  <si>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</si>
  <si>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</si>
  <si>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</si>
  <si>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</si>
  <si>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</si>
  <si>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</si>
  <si>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</si>
  <si>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</si>
  <si>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</si>
  <si>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</si>
  <si>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</si>
  <si>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</si>
  <si>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</si>
  <si>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</si>
  <si>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</si>
  <si>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</si>
  <si>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</si>
  <si>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</si>
  <si>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</si>
  <si>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</si>
  <si>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</si>
  <si>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</si>
  <si>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</si>
  <si>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</si>
  <si>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</si>
  <si>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</si>
  <si>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</si>
  <si>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</si>
  <si>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</si>
  <si>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</si>
  <si>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</si>
  <si>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</si>
  <si>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</si>
  <si>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</si>
  <si>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</si>
  <si>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</si>
  <si>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</si>
  <si>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</si>
  <si>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</si>
  <si>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</si>
  <si>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</si>
  <si>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</si>
  <si>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</si>
  <si>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</si>
  <si>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</si>
  <si>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</si>
  <si>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</si>
  <si>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</si>
  <si>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</si>
  <si>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</si>
  <si>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</si>
  <si>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</si>
  <si>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</si>
  <si>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</si>
  <si>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</si>
  <si>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</si>
  <si>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</si>
  <si>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</si>
  <si>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</si>
  <si>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</si>
  <si>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</si>
  <si>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</si>
  <si>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</si>
  <si>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</si>
  <si>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</si>
  <si>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</si>
  <si>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</si>
  <si>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</si>
  <si>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</si>
  <si>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</si>
  <si>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</si>
  <si>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</si>
  <si>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</si>
  <si>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</si>
  <si>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</si>
  <si>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</si>
  <si>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</si>
  <si>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</si>
  <si>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</si>
  <si>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</si>
  <si>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</si>
  <si>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</si>
  <si>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</si>
  <si>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</si>
  <si>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</si>
  <si>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</si>
  <si>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</si>
  <si>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</si>
  <si>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</si>
  <si>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</si>
  <si>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</si>
  <si>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</si>
  <si>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</si>
  <si>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</si>
  <si>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</si>
  <si>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</si>
  <si>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</si>
  <si>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</si>
  <si>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</si>
  <si>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</si>
  <si>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</si>
  <si>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</si>
  <si>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</si>
  <si>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</si>
  <si>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</si>
  <si>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</si>
  <si>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</si>
  <si>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</si>
  <si>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</si>
  <si>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</si>
  <si>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</si>
  <si>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</si>
  <si>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</si>
  <si>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</si>
  <si>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</si>
  <si>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</si>
  <si>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</si>
  <si>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</si>
  <si>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</si>
  <si>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</si>
  <si>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</si>
  <si>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</si>
  <si>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</si>
  <si>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</si>
  <si>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</si>
  <si>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</si>
  <si>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</si>
  <si>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</si>
  <si>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</si>
  <si>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</si>
  <si>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</si>
  <si>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</si>
  <si>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</si>
  <si>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</si>
  <si>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</si>
  <si>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</si>
  <si>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</si>
  <si>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</si>
  <si>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</si>
  <si>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</si>
  <si>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</si>
  <si>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</si>
  <si>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</si>
  <si>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</si>
  <si>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</si>
  <si>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</si>
  <si>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</si>
  <si>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</si>
  <si>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</si>
  <si>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</si>
  <si>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</si>
  <si>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</si>
  <si>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</si>
  <si>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</si>
  <si>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</si>
  <si>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</si>
  <si>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</si>
  <si>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</si>
  <si>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</si>
  <si>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</si>
  <si>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</si>
  <si>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</si>
  <si>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</si>
  <si>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</si>
  <si>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</si>
  <si>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</si>
  <si>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</si>
  <si>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</si>
  <si>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</si>
  <si>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</si>
  <si>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</si>
  <si>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</si>
  <si>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</si>
  <si>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</si>
  <si>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</si>
  <si>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</si>
  <si>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</si>
  <si>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</si>
  <si>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</si>
  <si>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</si>
  <si>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</si>
  <si>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</si>
  <si>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</si>
  <si>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</si>
  <si>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</si>
  <si>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</si>
  <si>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</si>
  <si>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</si>
  <si>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</si>
  <si>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</si>
  <si>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</si>
  <si>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</si>
  <si>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</si>
  <si>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</si>
  <si>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</si>
  <si>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</si>
  <si>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</si>
  <si>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</si>
  <si>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</si>
  <si>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</si>
  <si>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</si>
  <si>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</si>
  <si>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</si>
  <si>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</si>
  <si>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</si>
  <si>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</si>
  <si>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</si>
  <si>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</si>
  <si>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</si>
  <si>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</si>
  <si>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</si>
  <si>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</si>
  <si>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</si>
  <si>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</si>
  <si>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</si>
  <si>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</si>
  <si>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</si>
  <si>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</si>
  <si>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</si>
  <si>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</si>
  <si>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</si>
  <si>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</si>
  <si>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</si>
  <si>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</si>
  <si>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</si>
  <si>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</si>
  <si>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</si>
  <si>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</si>
  <si>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</si>
  <si>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</si>
  <si>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</si>
  <si>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</si>
  <si>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</si>
  <si>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</si>
  <si>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</si>
  <si>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</si>
  <si>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</si>
  <si>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</si>
  <si>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</si>
  <si>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</si>
  <si>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</si>
  <si>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</si>
  <si>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</si>
  <si>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</si>
  <si>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</si>
  <si>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</si>
  <si>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</si>
  <si>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</si>
  <si>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</si>
  <si>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</si>
  <si>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</si>
  <si>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</si>
  <si>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</si>
  <si>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</si>
  <si>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</si>
  <si>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</si>
  <si>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</si>
  <si>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</si>
  <si>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</si>
  <si>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</si>
  <si>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</si>
  <si>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</si>
  <si>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</si>
  <si>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</si>
  <si>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</si>
  <si>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</si>
  <si>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</si>
  <si>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</si>
  <si>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</si>
  <si>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</si>
  <si>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</si>
  <si>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</si>
  <si>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</si>
  <si>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</si>
  <si>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</si>
  <si>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</si>
  <si>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</si>
  <si>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</si>
  <si>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</si>
  <si>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</si>
  <si>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</si>
  <si>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</si>
  <si>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</si>
  <si>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</si>
  <si>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</si>
  <si>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</si>
  <si>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</si>
  <si>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</si>
  <si>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</si>
  <si>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</si>
  <si>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</si>
  <si>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</si>
  <si>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</si>
  <si>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</si>
  <si>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</si>
  <si>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</si>
  <si>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</si>
  <si>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</si>
  <si>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</si>
  <si>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</si>
  <si>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</si>
  <si>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</si>
  <si>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</si>
  <si>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</si>
  <si>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</si>
  <si>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</si>
  <si>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</si>
  <si>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</si>
  <si>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</si>
  <si>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</si>
  <si>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</si>
  <si>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</si>
  <si>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</si>
  <si>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</si>
  <si>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</si>
  <si>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</si>
  <si>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</si>
  <si>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</si>
  <si>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</si>
  <si>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</si>
  <si>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</si>
  <si>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</si>
  <si>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</si>
  <si>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</si>
  <si>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</si>
  <si>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</si>
  <si>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</si>
  <si>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</si>
  <si>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</si>
  <si>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</si>
  <si>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</si>
  <si>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</si>
  <si>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</si>
  <si>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</si>
  <si>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</si>
  <si>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</si>
  <si>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</si>
  <si>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</si>
  <si>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</si>
  <si>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</si>
  <si>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</si>
  <si>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</si>
  <si>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</si>
  <si>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</si>
  <si>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</si>
  <si>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</si>
  <si>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</si>
  <si>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</si>
  <si>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</si>
  <si>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</si>
  <si>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</si>
  <si>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</si>
  <si>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</si>
  <si>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</si>
  <si>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</si>
  <si>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</si>
  <si>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</si>
  <si>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</si>
  <si>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</si>
  <si>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</si>
  <si>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</si>
  <si>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</si>
  <si>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</si>
  <si>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</si>
  <si>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</si>
  <si>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</si>
  <si>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</si>
  <si>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</si>
  <si>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</si>
  <si>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</si>
  <si>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</si>
  <si>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</si>
  <si>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</si>
  <si>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</si>
  <si>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</si>
  <si>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</si>
  <si>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</si>
  <si>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</si>
  <si>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</si>
  <si>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</si>
  <si>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</si>
  <si>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</si>
  <si>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</si>
  <si>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</si>
  <si>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</si>
  <si>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</si>
  <si>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</si>
  <si>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</si>
  <si>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</si>
  <si>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</si>
  <si>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</si>
  <si>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</si>
  <si>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</si>
  <si>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</si>
  <si>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</si>
  <si>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</si>
  <si>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</si>
  <si>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</si>
  <si>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</si>
  <si>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</si>
  <si>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</si>
  <si>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</si>
  <si>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</si>
  <si>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</si>
  <si>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</si>
  <si>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</si>
  <si>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</si>
  <si>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</si>
  <si>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</si>
  <si>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</si>
  <si>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</si>
  <si>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</si>
  <si>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</si>
  <si>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</si>
  <si>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</si>
  <si>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</si>
  <si>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</si>
  <si>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</si>
  <si>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</si>
  <si>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</si>
  <si>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</si>
  <si>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</si>
  <si>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</si>
  <si>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</si>
  <si>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</si>
  <si>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</si>
  <si>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</si>
  <si>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</si>
  <si>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</si>
  <si>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</si>
  <si>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</si>
  <si>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</si>
  <si>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</si>
  <si>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</si>
  <si>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</si>
  <si>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</si>
  <si>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</si>
  <si>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</si>
  <si>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</si>
  <si>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</si>
  <si>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</si>
  <si>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</si>
  <si>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</si>
  <si>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</si>
  <si>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</si>
  <si>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</si>
  <si>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</si>
  <si>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</si>
  <si>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</si>
  <si>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</si>
  <si>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</si>
  <si>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</si>
  <si>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</si>
  <si>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</si>
  <si>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</si>
  <si>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</si>
  <si>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</si>
  <si>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</si>
  <si>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</si>
  <si>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</si>
  <si>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</si>
  <si>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</si>
  <si>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</si>
  <si>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</si>
  <si>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</si>
  <si>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</si>
  <si>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</si>
  <si>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</si>
  <si>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</si>
  <si>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</si>
  <si>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</si>
  <si>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</si>
  <si>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</si>
  <si>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</si>
  <si>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</si>
  <si>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</si>
  <si>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</si>
  <si>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</si>
  <si>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</si>
  <si>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</si>
  <si>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</si>
  <si>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</si>
  <si>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</si>
  <si>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</si>
  <si>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</si>
  <si>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</si>
  <si>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</si>
  <si>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</si>
  <si>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</si>
  <si>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</si>
  <si>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</si>
  <si>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</si>
  <si>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</si>
  <si>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</si>
  <si>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</si>
  <si>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</si>
  <si>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</si>
  <si>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</si>
  <si>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</si>
  <si>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</si>
  <si>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</si>
  <si>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</si>
  <si>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</si>
  <si>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</si>
  <si>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</si>
  <si>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</si>
  <si>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</si>
  <si>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</si>
  <si>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</si>
  <si>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</si>
  <si>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</si>
  <si>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</si>
  <si>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</si>
  <si>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</si>
  <si>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</si>
  <si>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</si>
  <si>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</si>
  <si>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</si>
  <si>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</si>
  <si>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</si>
  <si>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</si>
  <si>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</si>
  <si>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</si>
  <si>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</si>
  <si>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</si>
  <si>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</si>
  <si>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</si>
  <si>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</si>
  <si>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</si>
  <si>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</si>
  <si>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</si>
  <si>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</si>
  <si>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</si>
  <si>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</si>
  <si>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</si>
  <si>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</si>
  <si>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</si>
  <si>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</si>
  <si>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</si>
  <si>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</si>
  <si>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</si>
  <si>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</si>
  <si>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</si>
  <si>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</si>
  <si>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</si>
  <si>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</si>
  <si>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</si>
  <si>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</si>
  <si>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</si>
  <si>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</si>
  <si>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</si>
  <si>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</si>
  <si>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</si>
  <si>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</si>
  <si>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</si>
  <si>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</si>
  <si>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</si>
  <si>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</si>
  <si>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</si>
  <si>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</si>
  <si>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</si>
  <si>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</si>
  <si>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</si>
  <si>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</si>
  <si>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</si>
  <si>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</si>
  <si>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</si>
  <si>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</si>
  <si>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</si>
  <si>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</si>
  <si>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</si>
  <si>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</si>
  <si>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</si>
  <si>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</si>
  <si>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</si>
  <si>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</si>
  <si>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</si>
  <si>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</si>
  <si>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</si>
  <si>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</si>
  <si>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</si>
  <si>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</si>
  <si>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</si>
  <si>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</si>
  <si>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</si>
  <si>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</si>
  <si>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</si>
  <si>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</si>
  <si>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</si>
  <si>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</si>
  <si>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</si>
  <si>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</si>
  <si>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</si>
  <si>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</si>
  <si>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</si>
  <si>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</si>
  <si>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</si>
  <si>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</si>
  <si>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</si>
  <si>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</si>
  <si>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</si>
  <si>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</si>
  <si>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</si>
  <si>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</si>
  <si>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</si>
  <si>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</si>
  <si>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</si>
  <si>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</si>
  <si>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</si>
  <si>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</si>
  <si>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</si>
  <si>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</si>
  <si>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</si>
  <si>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</si>
  <si>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</si>
  <si>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</si>
  <si>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</si>
  <si>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</si>
  <si>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</si>
  <si>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</si>
  <si>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</si>
  <si>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</si>
  <si>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</si>
  <si>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</si>
  <si>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</si>
  <si>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</si>
  <si>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</si>
  <si>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</si>
  <si>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</si>
  <si>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</si>
  <si>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</si>
  <si>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</si>
  <si>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</si>
  <si>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</si>
  <si>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</si>
  <si>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</si>
  <si>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</si>
  <si>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</si>
  <si>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</si>
  <si>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</si>
  <si>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</si>
  <si>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</si>
  <si>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</si>
  <si>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</si>
  <si>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</si>
  <si>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</si>
  <si>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</si>
  <si>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</si>
  <si>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</si>
  <si>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</si>
  <si>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</si>
  <si>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</si>
  <si>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</si>
  <si>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</si>
  <si>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</si>
  <si>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</si>
  <si>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</si>
  <si>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</si>
  <si>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</si>
  <si>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</si>
  <si>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</si>
  <si>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</si>
  <si>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</si>
  <si>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</si>
  <si>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</si>
  <si>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</si>
  <si>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</si>
  <si>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</si>
  <si>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</si>
  <si>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</si>
  <si>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</si>
  <si>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</si>
  <si>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</si>
  <si>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</si>
  <si>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</si>
  <si>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</si>
  <si>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</si>
  <si>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</si>
  <si>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</si>
  <si>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</si>
  <si>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</si>
  <si>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</si>
  <si>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</si>
  <si>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</si>
  <si>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</si>
  <si>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</si>
  <si>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</si>
  <si>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</si>
  <si>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</si>
  <si>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</si>
  <si>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</si>
  <si>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</si>
  <si>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</si>
  <si>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</si>
  <si>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</si>
  <si>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</si>
  <si>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</si>
  <si>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</si>
  <si>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</si>
  <si>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</si>
  <si>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</si>
  <si>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</si>
  <si>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</si>
  <si>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</si>
  <si>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</si>
  <si>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</si>
  <si>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</si>
  <si>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</si>
  <si>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</si>
  <si>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</si>
  <si>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</si>
  <si>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</si>
  <si>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</si>
  <si>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</si>
  <si>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</si>
  <si>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</si>
  <si>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</si>
  <si>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</si>
  <si>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</si>
  <si>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</si>
  <si>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</si>
  <si>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</si>
  <si>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</si>
  <si>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</si>
  <si>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</si>
  <si>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</si>
  <si>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</si>
  <si>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</si>
  <si>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</si>
  <si>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</si>
  <si>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</si>
  <si>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</si>
  <si>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</si>
  <si>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</si>
  <si>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</si>
  <si>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</si>
  <si>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</si>
  <si>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</si>
  <si>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</si>
  <si>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</si>
  <si>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</si>
  <si>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</si>
  <si>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</si>
  <si>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</si>
  <si>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</si>
  <si>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</si>
  <si>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</si>
  <si>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</si>
  <si>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</si>
  <si>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</si>
  <si>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</si>
  <si>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</si>
  <si>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</si>
  <si>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</si>
  <si>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</si>
  <si>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</si>
  <si>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</si>
  <si>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</si>
  <si>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</si>
  <si>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</si>
  <si>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</si>
  <si>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</si>
  <si>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</si>
  <si>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</si>
  <si>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</si>
  <si>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</si>
  <si>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</si>
  <si>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</si>
  <si>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</si>
  <si>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</si>
  <si>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</si>
  <si>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</si>
  <si>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</si>
  <si>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</si>
  <si>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</si>
  <si>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</si>
  <si>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</si>
  <si>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</si>
  <si>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</si>
  <si>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</si>
  <si>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</si>
  <si>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</si>
  <si>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</si>
  <si>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</si>
  <si>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</si>
  <si>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</si>
  <si>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</si>
  <si>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</si>
  <si>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</si>
  <si>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</si>
  <si>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</si>
  <si>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</si>
  <si>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</si>
  <si>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</si>
  <si>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</si>
  <si>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</si>
  <si>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</si>
  <si>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</si>
  <si>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</si>
  <si>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</si>
  <si>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</si>
  <si>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</si>
  <si>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</si>
  <si>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</si>
  <si>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</si>
  <si>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</si>
  <si>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</si>
  <si>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</si>
  <si>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</si>
  <si>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</si>
  <si>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</si>
  <si>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</si>
  <si>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</si>
  <si>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</si>
  <si>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</si>
  <si>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</si>
  <si>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</si>
  <si>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</si>
  <si>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</si>
  <si>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</si>
  <si>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</si>
  <si>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</si>
  <si>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</si>
  <si>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</si>
  <si>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</si>
  <si>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</si>
  <si>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</si>
  <si>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</si>
  <si>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</si>
  <si>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</si>
  <si>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</si>
  <si>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</si>
  <si>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</si>
  <si>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</si>
  <si>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</si>
  <si>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</si>
  <si>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</si>
  <si>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</si>
  <si>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</si>
  <si>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</si>
  <si>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</si>
  <si>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</si>
  <si>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</si>
  <si>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</si>
  <si>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</si>
  <si>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</si>
  <si>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</si>
  <si>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</si>
  <si>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</si>
  <si>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</si>
  <si>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</si>
  <si>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</si>
  <si>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</si>
  <si>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</si>
  <si>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</si>
  <si>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</si>
  <si>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</si>
  <si>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</si>
  <si>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</si>
  <si>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</si>
  <si>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</si>
  <si>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</si>
  <si>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</si>
  <si>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</si>
  <si>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</si>
  <si>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</si>
  <si>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</si>
  <si>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</si>
  <si>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</si>
  <si>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</si>
  <si>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</si>
  <si>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</si>
  <si>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</si>
  <si>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</si>
  <si>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</si>
  <si>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</si>
  <si>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</si>
  <si>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</si>
  <si>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</si>
  <si>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</si>
  <si>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</si>
  <si>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</si>
  <si>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</si>
  <si>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</si>
  <si>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</si>
  <si>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</si>
  <si>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</si>
  <si>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</si>
  <si>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</si>
  <si>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</si>
  <si>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</si>
  <si>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</si>
  <si>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</si>
  <si>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</si>
  <si>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</si>
  <si>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</si>
  <si>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</si>
  <si>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</si>
  <si>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</si>
  <si>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</si>
  <si>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</si>
  <si>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</si>
  <si>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</si>
  <si>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</si>
  <si>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</si>
  <si>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</si>
  <si>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</si>
  <si>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</si>
  <si>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</si>
  <si>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</si>
  <si>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</si>
  <si>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</si>
  <si>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</si>
  <si>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</si>
  <si>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</si>
  <si>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</si>
  <si>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</si>
  <si>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</si>
  <si>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</si>
  <si>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</si>
  <si>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</si>
  <si>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</si>
  <si>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</si>
  <si>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</si>
  <si>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</si>
  <si>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</si>
  <si>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</si>
  <si>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</si>
  <si>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</si>
  <si>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</si>
  <si>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</si>
  <si>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</si>
  <si>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</si>
  <si>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</si>
  <si>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</si>
  <si>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</si>
  <si>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</si>
  <si>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</si>
  <si>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</si>
  <si>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</si>
  <si>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</si>
  <si>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</si>
  <si>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</si>
  <si>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</si>
  <si>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</si>
  <si>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</si>
  <si>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</si>
  <si>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</si>
  <si>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</si>
  <si>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</si>
  <si>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</si>
  <si>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</si>
  <si>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</si>
  <si>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</si>
  <si>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</si>
  <si>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</si>
  <si>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</si>
  <si>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</si>
  <si>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</si>
  <si>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</si>
  <si>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</si>
  <si>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</si>
  <si>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</si>
  <si>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</si>
  <si>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</si>
  <si>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</si>
  <si>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</si>
  <si>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</si>
  <si>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</si>
  <si>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</si>
  <si>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</si>
  <si>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</si>
  <si>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</si>
  <si>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</si>
  <si>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</si>
  <si>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</si>
  <si>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</si>
  <si>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</si>
  <si>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</si>
  <si>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</si>
  <si>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</si>
  <si>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</si>
  <si>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</si>
  <si>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</si>
  <si>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</si>
  <si>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</si>
  <si>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</si>
  <si>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</si>
  <si>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</si>
  <si>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</si>
  <si>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</si>
  <si>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</si>
  <si>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</si>
  <si>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</si>
  <si>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</si>
  <si>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</si>
  <si>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</si>
  <si>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</si>
  <si>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</si>
  <si>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</si>
  <si>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</si>
  <si>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</si>
  <si>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</si>
  <si>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</si>
  <si>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</si>
  <si>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</si>
  <si>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</si>
  <si>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</si>
  <si>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</si>
  <si>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</si>
  <si>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</si>
  <si>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</si>
  <si>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</si>
  <si>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</si>
  <si>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</si>
  <si>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</si>
  <si>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</si>
  <si>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</si>
  <si>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</si>
  <si>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</si>
  <si>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</si>
  <si>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</si>
  <si>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</si>
  <si>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</si>
  <si>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</si>
  <si>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</si>
  <si>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</si>
  <si>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</si>
  <si>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</si>
  <si>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</si>
  <si>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</si>
  <si>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</si>
  <si>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</si>
  <si>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</si>
  <si>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</si>
  <si>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</si>
  <si>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</si>
  <si>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</si>
  <si>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</si>
  <si>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</si>
  <si>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</si>
  <si>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</si>
  <si>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</si>
  <si>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</si>
  <si>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</si>
  <si>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</si>
  <si>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</si>
  <si>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</si>
  <si>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</si>
  <si>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</si>
  <si>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</si>
  <si>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</si>
  <si>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</si>
  <si>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</si>
  <si>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</si>
  <si>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</si>
  <si>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</si>
  <si>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</si>
  <si>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</si>
  <si>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</si>
  <si>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</si>
  <si>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</si>
  <si>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</si>
  <si>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</si>
  <si>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</si>
  <si>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</si>
  <si>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</si>
  <si>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</si>
  <si>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</si>
  <si>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</si>
  <si>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</si>
  <si>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</si>
  <si>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</si>
  <si>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</si>
  <si>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</si>
  <si>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</si>
  <si>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</si>
  <si>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</si>
  <si>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</si>
  <si>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</si>
  <si>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</si>
  <si>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</si>
  <si>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</si>
  <si>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</si>
  <si>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</si>
  <si>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</si>
  <si>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</si>
  <si>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</si>
  <si>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</si>
  <si>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</si>
  <si>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</si>
  <si>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</si>
  <si>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</si>
  <si>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</si>
  <si>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</si>
  <si>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</si>
  <si>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</si>
  <si>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</si>
  <si>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</si>
  <si>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</si>
  <si>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</si>
  <si>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</si>
  <si>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</si>
  <si>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</si>
  <si>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</si>
  <si>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</si>
  <si>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</si>
  <si>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</si>
  <si>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</si>
  <si>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</si>
  <si>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</si>
  <si>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</si>
  <si>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</si>
  <si>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</si>
  <si>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</si>
  <si>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</si>
  <si>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</si>
  <si>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</si>
  <si>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</si>
  <si>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</si>
  <si>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</si>
  <si>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</si>
  <si>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</si>
  <si>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</si>
  <si>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</si>
  <si>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</si>
  <si>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</si>
  <si>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</si>
  <si>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</si>
  <si>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</si>
  <si>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</si>
  <si>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</si>
  <si>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</si>
  <si>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</si>
  <si>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</si>
  <si>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</si>
  <si>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</si>
  <si>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</si>
  <si>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</si>
  <si>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</si>
  <si>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</si>
  <si>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</si>
  <si>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</si>
  <si>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</si>
  <si>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</si>
  <si>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</si>
  <si>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</si>
  <si>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</si>
  <si>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</si>
  <si>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</si>
  <si>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</si>
  <si>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</si>
  <si>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</si>
  <si>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</si>
  <si>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</si>
  <si>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</si>
  <si>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</si>
  <si>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</si>
  <si>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</si>
  <si>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</si>
  <si>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</si>
  <si>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</si>
  <si>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</si>
  <si>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</si>
  <si>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</si>
  <si>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</si>
  <si>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</si>
  <si>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</si>
  <si>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</si>
  <si>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</si>
  <si>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</si>
  <si>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</si>
  <si>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</si>
  <si>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</si>
  <si>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</si>
  <si>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</si>
  <si>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</si>
  <si>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</si>
  <si>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</si>
  <si>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</si>
  <si>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</si>
  <si>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</si>
  <si>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</si>
  <si>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</si>
  <si>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</si>
  <si>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</si>
  <si>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</si>
  <si>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</si>
  <si>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</si>
  <si>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</si>
  <si>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</si>
  <si>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</si>
  <si>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</si>
  <si>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</si>
  <si>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</si>
  <si>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</si>
  <si>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</si>
  <si>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</si>
  <si>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</si>
  <si>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</si>
  <si>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</si>
  <si>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</si>
  <si>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</si>
  <si>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</si>
  <si>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</si>
  <si>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</si>
  <si>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</si>
  <si>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</si>
  <si>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</si>
  <si>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</si>
  <si>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</si>
  <si>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</si>
  <si>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</si>
  <si>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</si>
  <si>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</si>
  <si>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</si>
  <si>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</si>
  <si>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</si>
  <si>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</si>
  <si>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</si>
  <si>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</si>
  <si>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</si>
  <si>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</si>
  <si>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</si>
  <si>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</si>
  <si>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</si>
  <si>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</si>
  <si>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</si>
  <si>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</si>
  <si>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</si>
  <si>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</si>
  <si>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</si>
  <si>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</si>
  <si>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</si>
  <si>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</si>
  <si>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</si>
  <si>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</si>
  <si>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</si>
  <si>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</si>
  <si>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</si>
  <si>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</si>
  <si>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</si>
  <si>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</si>
  <si>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</si>
  <si>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</si>
  <si>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</si>
  <si>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</si>
  <si>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</si>
  <si>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</si>
  <si>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</si>
  <si>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</si>
  <si>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</si>
  <si>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</si>
  <si>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</si>
  <si>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</si>
  <si>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</si>
  <si>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</si>
  <si>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</si>
  <si>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</si>
  <si>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</si>
  <si>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</si>
  <si>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</si>
  <si>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</si>
  <si>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</si>
  <si>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</si>
  <si>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</si>
  <si>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</si>
  <si>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</si>
  <si>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</si>
  <si>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</si>
  <si>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</si>
  <si>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</si>
  <si>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</si>
  <si>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</si>
  <si>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</si>
  <si>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</si>
  <si>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</si>
  <si>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</si>
  <si>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</si>
  <si>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</si>
  <si>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</si>
  <si>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</si>
  <si>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</si>
  <si>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</si>
  <si>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</si>
  <si>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</si>
  <si>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</si>
  <si>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</si>
  <si>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</si>
  <si>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</si>
  <si>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</si>
  <si>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</si>
  <si>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</si>
  <si>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</si>
  <si>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</si>
  <si>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</si>
  <si>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</si>
  <si>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</si>
  <si>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</si>
  <si>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</si>
  <si>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</si>
  <si>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</si>
  <si>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</si>
  <si>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</si>
  <si>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</si>
  <si>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</si>
  <si>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</si>
  <si>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</si>
  <si>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</si>
  <si>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</si>
  <si>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</si>
  <si>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</si>
  <si>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</si>
  <si>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</si>
  <si>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</si>
  <si>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</si>
  <si>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</si>
  <si>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</si>
  <si>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</si>
  <si>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</si>
  <si>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</si>
  <si>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</si>
  <si>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</si>
  <si>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</si>
  <si>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</si>
  <si>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</si>
  <si>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</si>
  <si>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</si>
  <si>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</si>
  <si>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</si>
  <si>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</si>
  <si>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</si>
  <si>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</si>
  <si>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</si>
  <si>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</si>
  <si>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</si>
  <si>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</si>
  <si>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</si>
  <si>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</si>
  <si>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</si>
  <si>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</si>
  <si>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</si>
  <si>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</si>
  <si>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</si>
  <si>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</si>
  <si>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</si>
  <si>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</si>
  <si>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</si>
  <si>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</si>
  <si>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</si>
  <si>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</si>
  <si>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</si>
  <si>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</si>
  <si>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</si>
  <si>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</si>
  <si>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</si>
  <si>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</si>
  <si>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</si>
  <si>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</si>
  <si>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</si>
  <si>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</si>
  <si>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</si>
  <si>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</si>
  <si>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</si>
  <si>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</si>
  <si>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</si>
  <si>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</si>
  <si>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</si>
  <si>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</si>
  <si>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</si>
  <si>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</si>
  <si>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</si>
  <si>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</si>
  <si>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</si>
  <si>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</si>
  <si>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</si>
  <si>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</si>
  <si>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</si>
  <si>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</si>
  <si>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</si>
  <si>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</si>
  <si>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</si>
  <si>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</si>
  <si>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</si>
  <si>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</si>
  <si>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</si>
  <si>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</si>
  <si>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</si>
  <si>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</si>
  <si>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</si>
  <si>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</si>
  <si>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</si>
  <si>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</si>
  <si>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</si>
  <si>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</si>
  <si>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</si>
  <si>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</si>
  <si>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</si>
  <si>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</si>
  <si>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</si>
  <si>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</si>
  <si>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</si>
  <si>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</si>
  <si>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</si>
  <si>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</si>
  <si>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</si>
  <si>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</si>
  <si>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</si>
  <si>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</si>
  <si>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</si>
  <si>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</si>
  <si>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</si>
  <si>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</si>
  <si>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</si>
  <si>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</si>
  <si>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</si>
  <si>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</si>
  <si>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</si>
  <si>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</si>
  <si>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</si>
  <si>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</si>
  <si>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</si>
  <si>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</si>
  <si>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</si>
  <si>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</si>
  <si>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</si>
  <si>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</si>
  <si>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</si>
  <si>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</si>
  <si>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</si>
  <si>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</si>
  <si>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</si>
  <si>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</si>
  <si>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</si>
  <si>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</si>
  <si>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</si>
  <si>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</si>
  <si>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</si>
  <si>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</si>
  <si>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</si>
  <si>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</si>
  <si>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</si>
  <si>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</si>
  <si>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</si>
  <si>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</si>
  <si>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</si>
  <si>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</si>
  <si>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</si>
  <si>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</si>
  <si>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</si>
  <si>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</si>
  <si>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</si>
  <si>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</si>
  <si>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</si>
  <si>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</si>
  <si>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</si>
  <si>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</si>
  <si>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</si>
  <si>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</si>
  <si>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</si>
  <si>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</si>
  <si>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</si>
  <si>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</si>
  <si>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</si>
  <si>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</si>
  <si>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</si>
  <si>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</si>
  <si>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</si>
  <si>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</si>
  <si>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</si>
  <si>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</si>
  <si>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</si>
  <si>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</si>
  <si>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</si>
  <si>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</si>
  <si>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</si>
  <si>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</si>
  <si>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</si>
  <si>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</si>
  <si>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</si>
  <si>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</si>
  <si>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</si>
  <si>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</si>
  <si>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</si>
  <si>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</si>
  <si>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</si>
  <si>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</si>
  <si>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</si>
  <si>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</si>
  <si>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</si>
  <si>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</si>
  <si>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</si>
  <si>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</si>
  <si>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</si>
  <si>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</si>
  <si>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</si>
  <si>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</si>
  <si>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</si>
  <si>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</si>
  <si>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</si>
  <si>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</si>
  <si>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</si>
  <si>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</si>
  <si>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</si>
  <si>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</si>
  <si>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</si>
  <si>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</si>
  <si>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</si>
  <si>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</si>
  <si>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</si>
  <si>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</si>
  <si>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</si>
  <si>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</si>
  <si>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</si>
  <si>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</si>
  <si>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</si>
  <si>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</si>
  <si>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</si>
  <si>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</si>
  <si>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</si>
  <si>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</si>
  <si>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</si>
  <si>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</si>
  <si>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</si>
  <si>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</si>
  <si>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</si>
  <si>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</si>
  <si>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</si>
  <si>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</si>
  <si>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</si>
  <si>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</si>
  <si>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</si>
  <si>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</si>
  <si>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</si>
  <si>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</si>
  <si>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</si>
  <si>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</si>
  <si>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</si>
  <si>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</si>
  <si>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</si>
  <si>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</si>
  <si>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</si>
  <si>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</si>
  <si>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</si>
  <si>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</si>
  <si>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</si>
  <si>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</si>
  <si>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</si>
  <si>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</si>
  <si>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</si>
  <si>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</si>
  <si>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</si>
  <si>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</si>
  <si>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</si>
  <si>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</si>
  <si>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</si>
  <si>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</si>
  <si>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</si>
  <si>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</si>
  <si>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</si>
  <si>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</si>
  <si>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</si>
  <si>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</si>
  <si>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</si>
  <si>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</si>
  <si>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</si>
  <si>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</si>
  <si>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</si>
  <si>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</si>
  <si>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</si>
  <si>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</si>
  <si>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</si>
  <si>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</si>
  <si>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</si>
  <si>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</si>
  <si>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</si>
  <si>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</si>
  <si>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</si>
  <si>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</si>
  <si>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</si>
  <si>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</si>
  <si>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</si>
  <si>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</si>
  <si>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</si>
  <si>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</si>
  <si>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</si>
  <si>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</si>
  <si>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</si>
  <si>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</si>
  <si>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</si>
  <si>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</si>
  <si>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</si>
  <si>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</si>
  <si>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</si>
  <si>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</si>
  <si>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</si>
  <si>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</si>
  <si>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</si>
  <si>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</si>
  <si>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</si>
  <si>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</si>
  <si>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</si>
  <si>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</si>
  <si>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</si>
  <si>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</si>
  <si>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</si>
  <si>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</si>
  <si>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</si>
  <si>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</si>
  <si>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</si>
  <si>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</si>
  <si>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</si>
  <si>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</si>
  <si>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</si>
  <si>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</si>
  <si>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</si>
  <si>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</si>
  <si>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</si>
  <si>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</si>
  <si>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</si>
  <si>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</si>
  <si>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</si>
  <si>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</si>
  <si>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</si>
  <si>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</si>
  <si>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</si>
  <si>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</si>
  <si>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</si>
  <si>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</si>
  <si>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</si>
  <si>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</si>
  <si>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</si>
  <si>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</si>
  <si>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</si>
  <si>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</si>
  <si>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</si>
  <si>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</si>
  <si>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</si>
  <si>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</si>
  <si>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</si>
  <si>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</si>
  <si>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</si>
  <si>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</si>
  <si>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</si>
  <si>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</si>
  <si>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</si>
  <si>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</si>
  <si>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</si>
  <si>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</si>
  <si>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</si>
  <si>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</si>
  <si>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</si>
  <si>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</si>
  <si>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</si>
  <si>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</si>
  <si>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</si>
  <si>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</si>
  <si>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</si>
  <si>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</si>
  <si>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</si>
  <si>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</si>
  <si>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</si>
  <si>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</si>
  <si>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</si>
  <si>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</si>
  <si>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</si>
  <si>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</si>
  <si>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</si>
  <si>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</si>
  <si>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</si>
  <si>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</si>
  <si>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</si>
  <si>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</si>
  <si>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</si>
  <si>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</si>
  <si>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</si>
  <si>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</si>
  <si>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</si>
  <si>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</si>
  <si>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</si>
  <si>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</si>
  <si>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</si>
  <si>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</si>
  <si>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</si>
  <si>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</si>
  <si>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</si>
  <si>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</si>
  <si>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</si>
  <si>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</si>
  <si>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</si>
  <si>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</si>
  <si>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</si>
  <si>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</si>
  <si>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</si>
  <si>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</si>
  <si>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</si>
  <si>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</si>
  <si>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</si>
  <si>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</si>
  <si>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</si>
  <si>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</si>
  <si>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</si>
  <si>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</si>
  <si>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</si>
  <si>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</si>
  <si>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</si>
  <si>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</si>
  <si>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</si>
  <si>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</si>
  <si>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</si>
  <si>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</si>
  <si>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</si>
  <si>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</si>
  <si>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</si>
  <si>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</si>
  <si>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</si>
  <si>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</si>
  <si>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</si>
  <si>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</si>
  <si>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</si>
  <si>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</si>
  <si>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</si>
  <si>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</si>
  <si>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</si>
  <si>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</si>
  <si>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</si>
  <si>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</si>
  <si>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</si>
  <si>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</si>
  <si>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</si>
  <si>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</si>
  <si>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</si>
  <si>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</si>
  <si>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</si>
  <si>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</si>
  <si>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</si>
  <si>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</si>
  <si>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</si>
  <si>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</si>
  <si>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</si>
  <si>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</si>
  <si>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</si>
  <si>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</si>
  <si>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</si>
  <si>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</si>
  <si>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</si>
  <si>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</si>
  <si>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</si>
  <si>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</si>
  <si>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</si>
  <si>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</si>
  <si>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</si>
  <si>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</si>
  <si>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</si>
  <si>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</si>
  <si>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</si>
  <si>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</si>
  <si>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</si>
  <si>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</si>
  <si>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</si>
  <si>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</si>
  <si>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</si>
  <si>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</si>
  <si>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</si>
  <si>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</si>
  <si>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</si>
  <si>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</si>
  <si>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</si>
  <si>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</si>
  <si>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</si>
  <si>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</si>
  <si>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</si>
  <si>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</si>
  <si>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</si>
  <si>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</si>
  <si>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</si>
  <si>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</si>
  <si>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</si>
  <si>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</si>
  <si>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</si>
  <si>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</si>
  <si>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</si>
  <si>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</si>
  <si>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</si>
  <si>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</si>
  <si>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</si>
  <si>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</si>
  <si>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</si>
  <si>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</si>
  <si>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</si>
  <si>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</si>
  <si>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</si>
  <si>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</si>
  <si>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</si>
  <si>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</si>
  <si>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</si>
  <si>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</si>
  <si>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</si>
  <si>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</si>
  <si>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</si>
  <si>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</si>
  <si>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</si>
  <si>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</si>
  <si>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</si>
  <si>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</si>
  <si>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</si>
  <si>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</si>
  <si>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</si>
  <si>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</si>
  <si>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</si>
  <si>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</si>
  <si>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</si>
  <si>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</si>
  <si>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</si>
  <si>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</si>
  <si>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</si>
  <si>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</si>
  <si>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</si>
  <si>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</si>
  <si>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</si>
  <si>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</si>
  <si>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</si>
  <si>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</si>
  <si>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</si>
  <si>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</si>
  <si>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</si>
  <si>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</si>
  <si>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</si>
  <si>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</si>
  <si>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</si>
  <si>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</si>
  <si>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</si>
  <si>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</si>
  <si>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</si>
  <si>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</si>
  <si>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</si>
  <si>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</si>
  <si>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</si>
  <si>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</si>
  <si>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</si>
  <si>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</si>
  <si>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</si>
  <si>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</si>
  <si>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</si>
  <si>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</si>
  <si>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</si>
  <si>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</si>
  <si>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</si>
  <si>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</si>
  <si>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</si>
  <si>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</si>
  <si>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</si>
  <si>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</si>
  <si>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</si>
  <si>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</si>
  <si>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</si>
  <si>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</si>
  <si>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</si>
  <si>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</si>
  <si>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</si>
  <si>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</si>
  <si>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</si>
  <si>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</si>
  <si>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</si>
  <si>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</si>
  <si>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</si>
  <si>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</si>
  <si>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</si>
  <si>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</si>
  <si>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</si>
  <si>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</si>
  <si>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</si>
  <si>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</si>
  <si>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</si>
  <si>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</si>
  <si>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</si>
  <si>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</si>
  <si>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</si>
  <si>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</si>
  <si>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</si>
  <si>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</si>
  <si>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</si>
  <si>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</si>
  <si>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</si>
  <si>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</si>
  <si>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</si>
  <si>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</si>
  <si>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</si>
  <si>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</si>
  <si>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</si>
  <si>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</si>
  <si>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</si>
  <si>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</si>
  <si>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</si>
  <si>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</si>
  <si>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</si>
  <si>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</si>
  <si>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</si>
  <si>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</si>
  <si>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</si>
  <si>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</si>
  <si>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</si>
  <si>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</si>
  <si>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</si>
  <si>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</si>
  <si>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</si>
  <si>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</si>
  <si>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</si>
  <si>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</si>
  <si>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</si>
  <si>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</si>
  <si>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</si>
  <si>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</si>
  <si>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</si>
  <si>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</si>
  <si>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</si>
  <si>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</si>
  <si>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</si>
  <si>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</si>
  <si>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</si>
  <si>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</si>
  <si>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</si>
  <si>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</si>
  <si>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</si>
  <si>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</si>
  <si>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</si>
  <si>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</si>
  <si>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</si>
  <si>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</si>
  <si>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</si>
  <si>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</si>
  <si>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</si>
  <si>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</si>
  <si>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</si>
  <si>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</si>
  <si>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</si>
  <si>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</si>
  <si>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</si>
  <si>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</si>
  <si>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</si>
  <si>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</si>
  <si>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</si>
  <si>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</si>
  <si>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</si>
  <si>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</si>
  <si>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</si>
  <si>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</si>
  <si>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</si>
  <si>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</si>
  <si>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</si>
  <si>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</si>
  <si>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</si>
  <si>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</si>
  <si>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</si>
  <si>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</si>
  <si>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</si>
  <si>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</si>
  <si>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</si>
  <si>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</si>
  <si>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</si>
  <si>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</si>
  <si>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</si>
  <si>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</si>
  <si>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</si>
  <si>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</si>
  <si>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</si>
  <si>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</si>
  <si>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</si>
  <si>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</si>
  <si>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</si>
  <si>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</si>
  <si>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</si>
  <si>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</si>
  <si>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</si>
  <si>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</si>
  <si>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</si>
  <si>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</si>
  <si>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</si>
  <si>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</si>
  <si>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</si>
  <si>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</si>
  <si>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</si>
  <si>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</si>
  <si>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</si>
  <si>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</si>
  <si>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</si>
  <si>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</si>
  <si>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</si>
  <si>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</si>
  <si>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</si>
  <si>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</si>
  <si>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</si>
  <si>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</si>
  <si>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</si>
  <si>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</si>
  <si>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</si>
  <si>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</si>
  <si>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</si>
  <si>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</si>
  <si>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</si>
  <si>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</si>
  <si>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</si>
  <si>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</si>
  <si>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</si>
  <si>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</si>
  <si>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</si>
  <si>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</si>
  <si>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</si>
  <si>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</si>
  <si>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</si>
  <si>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</si>
  <si>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</si>
  <si>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</si>
  <si>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</si>
  <si>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</si>
  <si>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</si>
  <si>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</si>
  <si>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</si>
  <si>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</si>
  <si>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</si>
  <si>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</si>
  <si>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</si>
  <si>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</si>
  <si>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</si>
  <si>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</si>
  <si>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</si>
  <si>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</si>
  <si>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</si>
  <si>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</si>
  <si>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</si>
  <si>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</si>
  <si>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</si>
  <si>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</si>
  <si>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</si>
  <si>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</si>
  <si>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</si>
  <si>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</si>
  <si>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</si>
  <si>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</si>
  <si>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</si>
  <si>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</si>
  <si>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</si>
  <si>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</si>
  <si>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</si>
  <si>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</si>
  <si>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</si>
  <si>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</si>
  <si>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</si>
  <si>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</si>
  <si>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</si>
  <si>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</si>
  <si>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</si>
  <si>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</si>
  <si>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</si>
  <si>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</si>
  <si>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</si>
  <si>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</si>
  <si>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</si>
  <si>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</si>
  <si>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</si>
  <si>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</si>
  <si>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</si>
  <si>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</si>
  <si>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</si>
  <si>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</si>
  <si>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</si>
  <si>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</si>
  <si>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</si>
  <si>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</si>
  <si>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</si>
  <si>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</si>
  <si>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</si>
  <si>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</si>
  <si>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</si>
  <si>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</si>
  <si>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</si>
  <si>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</si>
  <si>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</si>
  <si>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</si>
  <si>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</si>
  <si>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</si>
  <si>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</si>
  <si>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</si>
  <si>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</si>
  <si>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</si>
  <si>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</si>
  <si>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</si>
  <si>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</si>
  <si>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</si>
  <si>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</si>
  <si>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</si>
  <si>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</si>
  <si>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</si>
  <si>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</si>
  <si>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</si>
  <si>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</si>
  <si>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</si>
  <si>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</si>
  <si>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</si>
  <si>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</si>
  <si>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</si>
  <si>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</si>
  <si>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</si>
  <si>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</si>
  <si>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</si>
  <si>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</si>
  <si>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</si>
  <si>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</si>
  <si>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</si>
  <si>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</si>
  <si>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</si>
  <si>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</si>
  <si>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</si>
  <si>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</si>
  <si>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</si>
  <si>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</si>
  <si>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</si>
  <si>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</si>
  <si>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</si>
  <si>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</si>
  <si>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</si>
  <si>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</si>
  <si>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</si>
  <si>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</si>
  <si>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</si>
  <si>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</si>
  <si>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</si>
  <si>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</si>
  <si>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</si>
  <si>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</si>
  <si>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</si>
  <si>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</si>
  <si>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</si>
  <si>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</si>
  <si>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</si>
  <si>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</si>
  <si>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</si>
  <si>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</si>
  <si>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</si>
  <si>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</si>
  <si>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</si>
  <si>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</si>
  <si>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</si>
  <si>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</si>
  <si>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</si>
  <si>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</si>
  <si>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</si>
  <si>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</si>
  <si>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</si>
  <si>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</si>
  <si>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</si>
  <si>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</si>
  <si>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</si>
  <si>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</si>
  <si>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</si>
  <si>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</si>
  <si>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</si>
  <si>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</si>
  <si>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</si>
  <si>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</si>
  <si>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</si>
  <si>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</si>
  <si>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</si>
  <si>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</si>
  <si>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</si>
  <si>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</si>
  <si>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</si>
  <si>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</si>
  <si>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</si>
  <si>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</si>
  <si>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</si>
  <si>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</si>
  <si>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</si>
  <si>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</si>
  <si>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</si>
  <si>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</si>
  <si>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</si>
  <si>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</si>
  <si>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</si>
  <si>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</si>
  <si>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</si>
  <si>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</si>
  <si>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</si>
  <si>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</si>
  <si>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</si>
  <si>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</si>
  <si>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</si>
  <si>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</si>
  <si>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</si>
  <si>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</si>
  <si>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</si>
  <si>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</si>
  <si>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</si>
  <si>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</si>
  <si>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</si>
  <si>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</si>
  <si>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</si>
  <si>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</si>
  <si>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</si>
  <si>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</si>
  <si>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</si>
  <si>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</si>
  <si>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</si>
  <si>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</si>
  <si>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</si>
  <si>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</si>
  <si>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</si>
  <si>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</si>
  <si>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</si>
  <si>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</si>
  <si>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</si>
  <si>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</si>
  <si>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</si>
  <si>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</si>
  <si>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</si>
  <si>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</si>
  <si>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</si>
  <si>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</si>
  <si>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</si>
  <si>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</si>
  <si>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</si>
  <si>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</si>
  <si>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</si>
  <si>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</si>
  <si>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</si>
  <si>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</si>
  <si>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</si>
  <si>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</si>
  <si>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</si>
  <si>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</si>
  <si>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</si>
  <si>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</si>
  <si>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</si>
  <si>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</si>
  <si>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</si>
  <si>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</si>
  <si>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</si>
  <si>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</si>
  <si>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</si>
  <si>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</si>
  <si>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</si>
  <si>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</si>
  <si>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</si>
  <si>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</si>
  <si>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</si>
  <si>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</si>
  <si>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</si>
  <si>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</si>
  <si>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</si>
  <si>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</si>
  <si>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</si>
  <si>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</si>
  <si>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</si>
  <si>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</si>
  <si>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</si>
  <si>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</si>
  <si>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</si>
  <si>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</si>
  <si>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</si>
  <si>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</si>
  <si>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</si>
  <si>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</si>
  <si>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</si>
  <si>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</si>
  <si>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</si>
  <si>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</si>
  <si>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</si>
  <si>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</si>
  <si>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</si>
  <si>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</si>
  <si>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</si>
  <si>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</si>
  <si>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</si>
  <si>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</si>
  <si>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</si>
  <si>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</si>
  <si>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</si>
  <si>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</si>
  <si>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</si>
  <si>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</si>
  <si>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</si>
  <si>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</si>
  <si>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</si>
  <si>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</si>
  <si>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</si>
  <si>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</si>
  <si>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</si>
  <si>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</si>
  <si>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</si>
  <si>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</si>
  <si>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</si>
  <si>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</si>
  <si>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</si>
  <si>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</si>
  <si>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</si>
  <si>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</si>
  <si>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</si>
  <si>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</si>
  <si>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</si>
  <si>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</si>
  <si>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</si>
  <si>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</si>
  <si>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</si>
  <si>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</si>
  <si>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</si>
  <si>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</si>
  <si>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</si>
  <si>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</si>
  <si>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</si>
  <si>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</si>
  <si>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</si>
  <si>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</si>
  <si>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</si>
  <si>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</si>
  <si>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</si>
  <si>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</si>
  <si>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</si>
  <si>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</si>
  <si>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</si>
  <si>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</si>
  <si>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</si>
  <si>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</si>
  <si>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</si>
  <si>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</si>
  <si>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</si>
  <si>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</si>
  <si>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</si>
  <si>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</si>
  <si>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</si>
  <si>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</si>
  <si>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</si>
  <si>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</si>
  <si>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</si>
  <si>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</si>
  <si>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</si>
  <si>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</si>
  <si>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</si>
  <si>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</si>
  <si>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</si>
  <si>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</si>
  <si>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</si>
  <si>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</si>
  <si>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</si>
  <si>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</si>
  <si>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</si>
  <si>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</si>
  <si>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</si>
  <si>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</si>
  <si>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</si>
  <si>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</si>
  <si>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</si>
  <si>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</si>
  <si>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</si>
  <si>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</si>
  <si>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</si>
  <si>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</si>
  <si>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</si>
  <si>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</si>
  <si>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</si>
  <si>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</si>
  <si>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</si>
  <si>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</si>
  <si>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</si>
  <si>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</si>
  <si>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</si>
  <si>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</si>
  <si>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</si>
  <si>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</si>
  <si>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</si>
  <si>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</si>
  <si>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</si>
  <si>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</si>
  <si>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</si>
  <si>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</si>
  <si>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</si>
  <si>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</si>
  <si>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</si>
  <si>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</si>
  <si>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</si>
  <si>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</si>
  <si>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</si>
  <si>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</si>
  <si>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</si>
  <si>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</si>
  <si>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</si>
  <si>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</si>
  <si>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</si>
  <si>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</si>
  <si>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</si>
  <si>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</si>
  <si>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</si>
  <si>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</si>
  <si>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</si>
  <si>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</si>
  <si>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</si>
  <si>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</si>
  <si>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</si>
  <si>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</si>
  <si>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</si>
  <si>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</si>
  <si>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</si>
  <si>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</si>
  <si>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</si>
  <si>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</si>
  <si>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</si>
  <si>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</si>
  <si>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</si>
  <si>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</si>
  <si>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</si>
  <si>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</si>
  <si>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</si>
  <si>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</si>
  <si>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</si>
  <si>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</si>
  <si>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</si>
  <si>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</si>
  <si>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</si>
  <si>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</si>
  <si>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</si>
  <si>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</si>
  <si>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</si>
  <si>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</si>
  <si>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</si>
  <si>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</si>
  <si>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</si>
  <si>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</si>
  <si>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</si>
  <si>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</si>
  <si>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</si>
  <si>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</si>
  <si>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</si>
  <si>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</si>
  <si>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</si>
  <si>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</si>
  <si>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</si>
  <si>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</si>
  <si>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</si>
  <si>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</si>
  <si>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</si>
  <si>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</si>
  <si>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</si>
  <si>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</si>
  <si>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</si>
  <si>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</si>
  <si>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</si>
  <si>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</si>
  <si>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</si>
  <si>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</si>
  <si>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</si>
  <si>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</si>
  <si>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</si>
  <si>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</si>
  <si>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</si>
  <si>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</si>
  <si>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</si>
  <si>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</si>
  <si>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</si>
  <si>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</si>
  <si>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</si>
  <si>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</si>
  <si>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</si>
  <si>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</si>
  <si>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</si>
  <si>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</si>
  <si>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</si>
  <si>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</si>
  <si>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</si>
  <si>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</si>
  <si>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</si>
  <si>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</si>
  <si>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</si>
  <si>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</si>
  <si>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</si>
  <si>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</si>
  <si>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</si>
  <si>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</si>
  <si>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</si>
  <si>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</si>
  <si>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</si>
  <si>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</si>
  <si>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</si>
  <si>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</si>
  <si>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</si>
  <si>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</si>
  <si>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</si>
  <si>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</si>
  <si>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</si>
  <si>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</si>
  <si>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</si>
  <si>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</si>
  <si>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</si>
  <si>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</si>
  <si>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</si>
  <si>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</si>
  <si>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</si>
  <si>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</si>
  <si>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</si>
  <si>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</si>
  <si>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</si>
  <si>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</si>
  <si>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</si>
  <si>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</si>
  <si>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</si>
  <si>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</si>
  <si>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</si>
  <si>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</si>
  <si>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</si>
  <si>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</si>
  <si>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</si>
  <si>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</si>
  <si>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</si>
  <si>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</si>
  <si>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</si>
  <si>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</si>
  <si>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</si>
  <si>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</si>
  <si>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</si>
  <si>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</si>
  <si>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</si>
  <si>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</si>
  <si>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</si>
  <si>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</si>
  <si>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</si>
  <si>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</si>
  <si>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</si>
  <si>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</si>
  <si>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</si>
  <si>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</si>
  <si>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</si>
  <si>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</si>
  <si>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</si>
  <si>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</si>
  <si>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</si>
  <si>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</si>
  <si>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</si>
  <si>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</si>
  <si>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</si>
  <si>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</si>
  <si>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</si>
  <si>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</si>
  <si>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</si>
  <si>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</si>
  <si>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</si>
  <si>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</si>
  <si>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</si>
  <si>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</si>
  <si>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</si>
  <si>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</si>
  <si>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</si>
  <si>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</si>
  <si>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</si>
  <si>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</si>
  <si>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</si>
  <si>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</si>
  <si>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</si>
  <si>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</si>
  <si>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</si>
  <si>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</si>
  <si>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</si>
  <si>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</si>
  <si>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</si>
  <si>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</si>
  <si>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</si>
  <si>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</si>
  <si>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</si>
  <si>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</si>
  <si>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</si>
  <si>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</si>
  <si>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</si>
  <si>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</si>
  <si>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</si>
  <si>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</si>
  <si>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</si>
  <si>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</si>
  <si>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</si>
  <si>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</si>
  <si>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</si>
  <si>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</si>
  <si>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</si>
  <si>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</si>
  <si>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</si>
  <si>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</si>
  <si>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</si>
  <si>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</si>
  <si>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</si>
  <si>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</si>
  <si>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</si>
  <si>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</si>
  <si>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</si>
  <si>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</si>
  <si>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</si>
  <si>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</si>
  <si>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</si>
  <si>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</si>
  <si>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</si>
  <si>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</si>
  <si>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</si>
  <si>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</si>
  <si>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</si>
  <si>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</si>
  <si>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</si>
  <si>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</si>
  <si>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</si>
  <si>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</si>
  <si>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</si>
  <si>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</si>
  <si>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</si>
  <si>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</si>
  <si>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</si>
  <si>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</si>
  <si>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</si>
  <si>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</si>
  <si>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</si>
  <si>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</si>
  <si>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</si>
  <si>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</si>
  <si>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</si>
  <si>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</si>
  <si>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</si>
  <si>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</si>
  <si>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</si>
  <si>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</si>
  <si>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</si>
  <si>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</si>
  <si>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</si>
  <si>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</si>
  <si>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</si>
  <si>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</si>
  <si>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</si>
  <si>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</si>
  <si>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</si>
  <si>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</si>
  <si>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</si>
  <si>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</si>
  <si>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</si>
  <si>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</si>
  <si>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</si>
  <si>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</si>
  <si>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</si>
  <si>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</si>
  <si>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</si>
  <si>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</si>
  <si>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</si>
  <si>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</si>
  <si>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</si>
  <si>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</si>
  <si>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</si>
  <si>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</si>
  <si>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</si>
  <si>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</si>
  <si>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</si>
  <si>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</si>
  <si>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</si>
  <si>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</si>
  <si>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</si>
  <si>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</si>
  <si>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</si>
  <si>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</si>
  <si>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</si>
  <si>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</si>
  <si>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</si>
  <si>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</si>
  <si>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</si>
  <si>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</si>
  <si>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</si>
  <si>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</si>
  <si>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</si>
  <si>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</si>
  <si>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</si>
  <si>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</si>
  <si>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</si>
  <si>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</si>
  <si>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</si>
  <si>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</si>
  <si>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</si>
  <si>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</si>
  <si>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</si>
  <si>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</si>
  <si>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</si>
  <si>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</si>
  <si>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</si>
  <si>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</si>
  <si>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</si>
  <si>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</si>
  <si>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</si>
  <si>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</si>
  <si>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</si>
  <si>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</si>
  <si>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</si>
  <si>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</si>
  <si>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</si>
  <si>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</si>
  <si>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</si>
  <si>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</si>
  <si>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</si>
  <si>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</si>
  <si>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</si>
  <si>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</si>
  <si>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</si>
  <si>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</si>
  <si>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</si>
  <si>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</si>
  <si>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</si>
  <si>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</si>
  <si>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</si>
  <si>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</si>
  <si>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</si>
  <si>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</si>
  <si>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</si>
  <si>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</si>
  <si>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</si>
  <si>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</si>
  <si>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</si>
  <si>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</si>
  <si>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</si>
  <si>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</si>
  <si>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</si>
  <si>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</si>
  <si>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</si>
  <si>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</si>
  <si>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</si>
  <si>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</si>
  <si>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</si>
  <si>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</si>
  <si>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</si>
  <si>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</si>
  <si>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</si>
  <si>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</si>
  <si>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</si>
  <si>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</si>
  <si>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</si>
  <si>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</si>
  <si>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</si>
  <si>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</si>
  <si>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</si>
  <si>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</si>
  <si>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</si>
  <si>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</si>
  <si>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</si>
  <si>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</si>
  <si>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</si>
  <si>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</si>
  <si>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</si>
  <si>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</si>
  <si>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</si>
  <si>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</si>
  <si>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</si>
  <si>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</si>
  <si>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</si>
  <si>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</si>
  <si>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</si>
  <si>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</si>
  <si>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</si>
  <si>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</si>
  <si>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</si>
  <si>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</si>
  <si>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</si>
  <si>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</si>
  <si>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</si>
  <si>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</si>
  <si>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</si>
  <si>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</si>
  <si>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</si>
  <si>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</si>
  <si>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</si>
  <si>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</si>
  <si>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</si>
  <si>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</si>
  <si>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</si>
  <si>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</si>
  <si>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</si>
  <si>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</si>
  <si>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</si>
  <si>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</si>
  <si>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</si>
  <si>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</si>
  <si>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</si>
  <si>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</si>
  <si>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</si>
  <si>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</si>
  <si>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</si>
  <si>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</si>
  <si>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</si>
  <si>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</si>
  <si>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</si>
  <si>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</si>
  <si>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</si>
  <si>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</si>
  <si>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</si>
  <si>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</si>
  <si>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</si>
  <si>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</si>
  <si>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</si>
  <si>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</si>
  <si>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</si>
  <si>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</si>
  <si>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</si>
  <si>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</si>
  <si>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</si>
  <si>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</si>
  <si>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</si>
  <si>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</si>
  <si>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</si>
  <si>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</si>
  <si>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</si>
  <si>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</si>
  <si>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</si>
  <si>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</si>
  <si>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</si>
  <si>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</si>
  <si>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</si>
  <si>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</si>
  <si>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</si>
  <si>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</si>
  <si>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</si>
  <si>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</si>
  <si>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</si>
  <si>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</si>
  <si>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</si>
  <si>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</si>
  <si>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</si>
  <si>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</si>
  <si>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</si>
  <si>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</si>
  <si>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</si>
  <si>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</si>
  <si>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</si>
  <si>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</si>
  <si>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</si>
  <si>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</si>
  <si>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</si>
  <si>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</si>
  <si>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</si>
  <si>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</si>
  <si>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</si>
  <si>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</si>
  <si>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</si>
  <si>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</si>
  <si>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</si>
  <si>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</si>
  <si>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</si>
  <si>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</si>
  <si>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</si>
  <si>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</si>
  <si>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</si>
  <si>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</si>
  <si>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</si>
  <si>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</si>
  <si>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</si>
  <si>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</si>
  <si>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</si>
  <si>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</si>
  <si>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</si>
  <si>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</si>
  <si>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</si>
  <si>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</si>
  <si>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</si>
  <si>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</si>
  <si>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</si>
  <si>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</si>
  <si>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</si>
  <si>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</si>
  <si>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</si>
  <si>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</si>
  <si>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</si>
  <si>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</si>
  <si>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</si>
  <si>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</si>
  <si>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</si>
  <si>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</si>
  <si>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</si>
  <si>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</si>
  <si>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</si>
  <si>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</si>
  <si>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</si>
  <si>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</si>
  <si>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</si>
  <si>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</si>
  <si>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</si>
  <si>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</si>
  <si>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</si>
  <si>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</si>
  <si>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</si>
  <si>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</si>
  <si>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</si>
  <si>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</si>
  <si>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</si>
  <si>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</si>
  <si>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</si>
  <si>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</si>
  <si>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</si>
  <si>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</si>
  <si>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</si>
  <si>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</si>
  <si>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</si>
  <si>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</si>
  <si>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</si>
  <si>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</si>
  <si>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</si>
  <si>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</si>
  <si>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</si>
  <si>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</si>
  <si>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</si>
  <si>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</si>
  <si>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</si>
  <si>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</si>
  <si>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</si>
  <si>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</si>
  <si>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</si>
  <si>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</si>
  <si>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</si>
  <si>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</si>
  <si>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</si>
  <si>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</si>
  <si>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</si>
  <si>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</si>
  <si>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</si>
  <si>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</si>
  <si>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</si>
  <si>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</si>
  <si>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</si>
  <si>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</si>
  <si>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</si>
  <si>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</si>
  <si>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</si>
  <si>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</si>
  <si>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</si>
  <si>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</si>
  <si>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</si>
  <si>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</si>
  <si>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</si>
  <si>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</si>
  <si>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</si>
  <si>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</si>
  <si>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</si>
  <si>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</si>
  <si>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</si>
  <si>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</si>
  <si>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</si>
  <si>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</si>
  <si>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</si>
  <si>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</si>
  <si>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</si>
  <si>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</si>
  <si>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</si>
  <si>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</si>
  <si>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</si>
  <si>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</si>
  <si>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</si>
  <si>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</si>
  <si>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</si>
  <si>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</si>
  <si>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</si>
  <si>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</si>
  <si>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</si>
  <si>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</si>
  <si>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</si>
  <si>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</si>
  <si>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</si>
  <si>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</si>
  <si>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</si>
  <si>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</si>
  <si>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</si>
  <si>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</si>
  <si>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</si>
  <si>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</si>
  <si>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</si>
  <si>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</si>
  <si>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</si>
  <si>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</si>
  <si>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</si>
  <si>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</si>
  <si>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</si>
  <si>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</si>
  <si>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</si>
  <si>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</si>
  <si>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</si>
  <si>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</si>
  <si>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</si>
  <si>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</si>
  <si>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</si>
  <si>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</si>
  <si>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</si>
  <si>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</si>
  <si>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</si>
  <si>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</si>
  <si>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</si>
  <si>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</si>
  <si>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</si>
  <si>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</si>
  <si>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</si>
  <si>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</si>
  <si>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</si>
  <si>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</si>
  <si>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</si>
  <si>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</si>
  <si>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</si>
  <si>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</si>
  <si>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</si>
  <si>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</si>
  <si>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</si>
  <si>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</si>
  <si>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</si>
  <si>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</si>
  <si>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</si>
  <si>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</si>
  <si>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</si>
  <si>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</si>
  <si>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</si>
  <si>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</si>
  <si>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</si>
  <si>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</si>
  <si>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</si>
  <si>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</si>
  <si>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</si>
  <si>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</si>
  <si>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</si>
  <si>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</si>
  <si>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</si>
  <si>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</si>
  <si>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</si>
  <si>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</si>
  <si>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</si>
  <si>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</si>
  <si>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</si>
  <si>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</si>
  <si>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</si>
  <si>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</si>
  <si>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</si>
  <si>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</si>
  <si>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</si>
  <si>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</si>
  <si>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</si>
  <si>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</si>
  <si>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</si>
  <si>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</si>
  <si>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</si>
  <si>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</si>
  <si>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</si>
  <si>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</si>
  <si>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</si>
  <si>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</si>
  <si>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</si>
  <si>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</si>
  <si>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</si>
  <si>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</si>
  <si>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</si>
  <si>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</si>
  <si>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</si>
  <si>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</si>
  <si>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</si>
  <si>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</si>
  <si>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</si>
  <si>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</si>
  <si>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</si>
  <si>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</si>
  <si>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</si>
  <si>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</si>
  <si>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</si>
  <si>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</si>
  <si>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</si>
  <si>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</si>
  <si>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</si>
  <si>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</si>
  <si>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</si>
  <si>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</si>
  <si>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</si>
  <si>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</si>
  <si>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</si>
  <si>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</si>
  <si>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</si>
  <si>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</si>
  <si>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</si>
  <si>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</si>
  <si>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</si>
  <si>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</si>
  <si>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</si>
  <si>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</si>
  <si>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</si>
  <si>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</si>
  <si>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</si>
  <si>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</si>
  <si>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</si>
  <si>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</si>
  <si>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</si>
  <si>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</si>
  <si>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</si>
  <si>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</si>
  <si>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</si>
  <si>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</si>
  <si>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</si>
  <si>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</si>
  <si>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</si>
  <si>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</si>
  <si>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</si>
  <si>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</si>
  <si>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</si>
  <si>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</si>
  <si>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</si>
  <si>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</si>
  <si>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</si>
  <si>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</si>
  <si>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</si>
  <si>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</si>
  <si>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</si>
  <si>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</si>
  <si>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</si>
  <si>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</si>
  <si>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</si>
  <si>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</si>
  <si>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</si>
  <si>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</si>
  <si>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</si>
  <si>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</si>
  <si>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</si>
  <si>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</si>
  <si>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</si>
  <si>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</si>
  <si>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</si>
  <si>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</si>
  <si>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</si>
  <si>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</si>
  <si>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</si>
  <si>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</si>
  <si>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</si>
  <si>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</si>
  <si>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</si>
  <si>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</si>
  <si>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</si>
  <si>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</si>
  <si>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</si>
  <si>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</si>
  <si>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</si>
  <si>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</si>
  <si>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</si>
  <si>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</si>
  <si>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</si>
  <si>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</si>
  <si>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</si>
  <si>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</si>
  <si>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</si>
  <si>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</si>
  <si>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</si>
  <si>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</si>
  <si>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</si>
  <si>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</si>
  <si>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</si>
  <si>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</si>
  <si>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</si>
  <si>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</si>
  <si>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</si>
  <si>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</si>
  <si>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</si>
  <si>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</si>
  <si>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</si>
  <si>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</si>
  <si>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</si>
  <si>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</si>
  <si>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</si>
  <si>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</si>
  <si>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</si>
  <si>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</si>
  <si>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</si>
  <si>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</si>
  <si>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</si>
  <si>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</si>
  <si>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</si>
  <si>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</si>
  <si>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</si>
  <si>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</si>
  <si>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</si>
  <si>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</si>
  <si>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</si>
  <si>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</si>
  <si>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</si>
  <si>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</si>
  <si>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</si>
  <si>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</si>
  <si>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</si>
  <si>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</si>
  <si>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</si>
  <si>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</si>
  <si>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</si>
  <si>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</si>
  <si>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</si>
  <si>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</si>
  <si>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</si>
  <si>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</si>
  <si>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</si>
  <si>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</si>
  <si>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</si>
  <si>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</si>
  <si>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</si>
  <si>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</si>
  <si>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</si>
  <si>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</si>
  <si>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</si>
  <si>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</si>
  <si>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</si>
  <si>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</si>
  <si>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</si>
  <si>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</si>
  <si>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</si>
  <si>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</si>
  <si>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</si>
  <si>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</si>
  <si>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</si>
  <si>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</si>
  <si>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</si>
  <si>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</si>
  <si>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</si>
  <si>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</si>
  <si>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</si>
  <si>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</si>
  <si>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</si>
  <si>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</si>
  <si>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</si>
  <si>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</si>
  <si>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</si>
  <si>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</si>
  <si>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</si>
  <si>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</si>
  <si>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</si>
  <si>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</si>
  <si>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</si>
  <si>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</si>
  <si>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</si>
  <si>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</si>
  <si>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</si>
  <si>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</si>
  <si>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</si>
  <si>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</si>
  <si>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</si>
  <si>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</si>
  <si>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</si>
  <si>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</si>
  <si>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</si>
  <si>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</si>
  <si>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</si>
  <si>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</si>
  <si>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</si>
  <si>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</si>
  <si>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</si>
  <si>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</si>
  <si>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</si>
  <si>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</si>
  <si>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</si>
  <si>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</si>
  <si>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</si>
  <si>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</si>
  <si>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</si>
  <si>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</si>
  <si>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</si>
  <si>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</si>
  <si>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</si>
  <si>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</si>
  <si>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</si>
  <si>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</si>
  <si>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</si>
  <si>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</si>
  <si>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</si>
  <si>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</si>
  <si>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</si>
  <si>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</si>
  <si>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</si>
  <si>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</si>
  <si>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</si>
  <si>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</si>
  <si>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</si>
  <si>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</si>
  <si>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</si>
  <si>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</si>
  <si>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</si>
  <si>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</si>
  <si>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</si>
  <si>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</si>
  <si>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</si>
  <si>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</si>
  <si>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</si>
  <si>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</si>
  <si>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</si>
  <si>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</si>
  <si>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</si>
  <si>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</si>
  <si>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</si>
  <si>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</si>
  <si>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</si>
  <si>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</si>
  <si>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</si>
  <si>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</si>
  <si>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</si>
  <si>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</si>
  <si>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</si>
  <si>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</si>
  <si>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</si>
  <si>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</si>
  <si>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</si>
  <si>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</si>
  <si>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</si>
  <si>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</si>
  <si>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</si>
  <si>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</si>
  <si>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</si>
  <si>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</si>
  <si>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</si>
  <si>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</si>
  <si>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</si>
  <si>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</si>
  <si>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</si>
  <si>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</si>
  <si>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</si>
  <si>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</si>
  <si>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</si>
  <si>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</si>
  <si>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</si>
  <si>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</si>
  <si>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</si>
  <si>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</si>
  <si>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</si>
  <si>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</si>
  <si>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</si>
  <si>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</si>
  <si>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</si>
  <si>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</si>
  <si>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</si>
  <si>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</si>
  <si>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</si>
  <si>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</si>
  <si>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</si>
  <si>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</si>
  <si>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</si>
  <si>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</si>
  <si>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</si>
  <si>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</si>
  <si>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</si>
  <si>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</si>
  <si>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</si>
  <si>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</si>
  <si>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</si>
  <si>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</si>
  <si>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</si>
  <si>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</si>
  <si>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</si>
  <si>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</si>
  <si>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</si>
  <si>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</si>
  <si>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</si>
  <si>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</si>
  <si>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</si>
  <si>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</si>
  <si>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</si>
  <si>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</si>
  <si>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</si>
  <si>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</si>
  <si>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</si>
  <si>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</si>
  <si>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</si>
  <si>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</si>
  <si>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</si>
  <si>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</si>
  <si>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</si>
  <si>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</si>
  <si>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</si>
  <si>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</si>
  <si>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</si>
  <si>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</si>
  <si>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</si>
  <si>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</si>
  <si>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</si>
  <si>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</si>
  <si>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</si>
  <si>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</si>
  <si>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</si>
  <si>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</si>
  <si>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</si>
  <si>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</si>
  <si>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</si>
  <si>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</si>
  <si>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</si>
  <si>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</si>
  <si>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</si>
  <si>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</si>
  <si>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</si>
  <si>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</si>
  <si>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</si>
  <si>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</si>
  <si>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</si>
  <si>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</si>
  <si>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</si>
  <si>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</si>
  <si>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</si>
  <si>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</si>
  <si>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</si>
  <si>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</si>
  <si>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</si>
  <si>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</si>
  <si>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</si>
  <si>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</si>
  <si>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</si>
  <si>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</si>
  <si>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</si>
  <si>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</si>
  <si>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</si>
  <si>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</si>
  <si>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</si>
  <si>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</si>
  <si>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</si>
  <si>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</si>
  <si>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</si>
  <si>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</si>
  <si>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</si>
  <si>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</si>
  <si>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</si>
  <si>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</si>
  <si>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</si>
  <si>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</si>
  <si>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</si>
  <si>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</si>
  <si>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</si>
  <si>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</si>
  <si>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</si>
  <si>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</si>
  <si>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</si>
  <si>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</si>
  <si>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</si>
  <si>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</si>
  <si>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</si>
  <si>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</si>
  <si>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</si>
  <si>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</si>
  <si>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</si>
  <si>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</si>
  <si>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</si>
  <si>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</si>
  <si>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</si>
  <si>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</si>
  <si>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</si>
  <si>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</si>
  <si>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</si>
  <si>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</si>
  <si>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</si>
  <si>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</si>
  <si>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</si>
  <si>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</si>
  <si>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</si>
  <si>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</si>
  <si>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</si>
  <si>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</si>
  <si>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</si>
  <si>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</si>
  <si>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</si>
  <si>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</si>
  <si>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</si>
  <si>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</si>
  <si>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</si>
  <si>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</si>
  <si>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</si>
  <si>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</si>
  <si>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</si>
  <si>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</si>
  <si>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</si>
  <si>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</si>
  <si>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</si>
  <si>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</si>
  <si>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</si>
  <si>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</si>
  <si>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</si>
  <si>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</si>
  <si>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</si>
  <si>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</si>
  <si>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</si>
  <si>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</si>
  <si>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</si>
  <si>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</si>
  <si>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</si>
  <si>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</si>
  <si>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</si>
  <si>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</si>
  <si>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</si>
  <si>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</si>
  <si>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</si>
  <si>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</si>
  <si>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</si>
  <si>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</si>
  <si>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</si>
  <si>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</si>
  <si>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</si>
  <si>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</si>
  <si>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</si>
  <si>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</si>
  <si>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</si>
  <si>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</si>
  <si>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</si>
  <si>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</si>
  <si>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</si>
  <si>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</si>
  <si>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</si>
  <si>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</si>
  <si>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</si>
  <si>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</si>
  <si>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</si>
  <si>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</si>
  <si>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</si>
  <si>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</si>
  <si>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</si>
  <si>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</si>
  <si>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</si>
  <si>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</si>
  <si>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</si>
  <si>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</si>
  <si>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</si>
  <si>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</si>
  <si>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</si>
  <si>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</si>
  <si>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</si>
  <si>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</si>
  <si>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</si>
  <si>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</si>
  <si>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</si>
  <si>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</si>
  <si>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</si>
  <si>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</si>
  <si>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</si>
  <si>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</si>
  <si>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</si>
  <si>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</si>
  <si>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</si>
  <si>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</si>
  <si>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</si>
  <si>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</si>
  <si>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</si>
  <si>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</si>
  <si>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</si>
  <si>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</si>
  <si>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</si>
  <si>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</si>
  <si>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</si>
  <si>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</si>
  <si>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</si>
  <si>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</si>
  <si>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</si>
  <si>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</si>
  <si>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</si>
  <si>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</si>
  <si>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</si>
  <si>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</si>
  <si>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</si>
  <si>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</si>
  <si>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</si>
  <si>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</si>
  <si>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</si>
  <si>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</si>
  <si>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</si>
  <si>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</si>
  <si>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</si>
  <si>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</si>
  <si>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</si>
  <si>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</si>
  <si>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</si>
  <si>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</si>
  <si>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</si>
  <si>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</si>
  <si>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</si>
  <si>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</si>
  <si>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</si>
  <si>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</si>
  <si>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</si>
  <si>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</si>
  <si>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</si>
  <si>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</si>
  <si>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</si>
  <si>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</si>
  <si>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</si>
  <si>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</si>
  <si>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</si>
  <si>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</si>
  <si>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</si>
  <si>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</si>
  <si>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</si>
  <si>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</si>
  <si>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</si>
  <si>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</si>
  <si>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</si>
  <si>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</si>
  <si>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</si>
  <si>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</si>
  <si>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</si>
  <si>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</si>
  <si>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</si>
  <si>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</si>
  <si>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</si>
  <si>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</si>
  <si>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</si>
  <si>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</si>
  <si>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</si>
  <si>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</si>
  <si>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</si>
  <si>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</si>
  <si>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</si>
  <si>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</si>
  <si>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</si>
  <si>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</si>
  <si>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</si>
  <si>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</si>
  <si>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</si>
  <si>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</si>
  <si>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</si>
  <si>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</si>
  <si>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</si>
  <si>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</si>
  <si>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</si>
  <si>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</si>
  <si>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</si>
  <si>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</si>
  <si>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</si>
  <si>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</si>
  <si>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</si>
  <si>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</si>
  <si>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</si>
  <si>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</si>
  <si>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</si>
  <si>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</si>
  <si>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</si>
  <si>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</si>
  <si>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</si>
  <si>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</si>
  <si>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</si>
  <si>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</si>
  <si>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</si>
  <si>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</si>
  <si>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</si>
  <si>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</si>
  <si>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</si>
  <si>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</si>
  <si>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</si>
  <si>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</si>
  <si>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</si>
  <si>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</si>
  <si>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</si>
  <si>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</si>
  <si>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</si>
  <si>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</si>
  <si>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</si>
  <si>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</si>
  <si>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</si>
  <si>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</si>
  <si>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</si>
  <si>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</si>
  <si>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</si>
  <si>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</si>
  <si>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</si>
  <si>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</si>
  <si>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</si>
  <si>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</si>
  <si>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</si>
  <si>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</si>
  <si>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</si>
  <si>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</si>
  <si>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</si>
  <si>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</si>
  <si>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</si>
  <si>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</si>
  <si>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</si>
  <si>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</si>
  <si>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</si>
  <si>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</si>
  <si>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</si>
  <si>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</si>
  <si>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</si>
  <si>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</si>
  <si>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</si>
  <si>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</si>
  <si>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</si>
  <si>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</si>
  <si>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</si>
  <si>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</si>
  <si>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</si>
  <si>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</si>
  <si>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</si>
  <si>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</si>
  <si>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</si>
  <si>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</si>
  <si>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</si>
  <si>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</si>
  <si>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</si>
  <si>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</si>
  <si>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</si>
  <si>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</si>
  <si>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</si>
  <si>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</si>
  <si>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</si>
  <si>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</si>
  <si>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</si>
  <si>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</si>
  <si>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</si>
  <si>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</si>
  <si>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</si>
  <si>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</si>
  <si>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</si>
  <si>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</si>
  <si>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</si>
  <si>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</si>
  <si>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</si>
  <si>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</si>
  <si>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</si>
  <si>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</si>
  <si>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</si>
  <si>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</si>
  <si>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</si>
  <si>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</si>
  <si>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</si>
  <si>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</si>
  <si>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</si>
  <si>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</si>
  <si>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</si>
  <si>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</si>
  <si>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</si>
  <si>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</si>
  <si>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</si>
  <si>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</si>
  <si>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</si>
  <si>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</si>
  <si>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</si>
  <si>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</si>
  <si>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</si>
  <si>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</si>
  <si>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</si>
  <si>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</si>
  <si>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</si>
  <si>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</si>
  <si>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</si>
  <si>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</si>
  <si>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</si>
  <si>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</si>
  <si>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</si>
  <si>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</si>
  <si>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</si>
  <si>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</si>
  <si>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</si>
  <si>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</si>
  <si>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</si>
  <si>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</si>
  <si>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</si>
  <si>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</si>
  <si>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</si>
  <si>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</si>
  <si>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</si>
  <si>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</si>
  <si>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</si>
  <si>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</si>
  <si>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</si>
  <si>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</si>
  <si>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</si>
  <si>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</si>
  <si>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</si>
  <si>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</si>
  <si>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</si>
  <si>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</si>
  <si>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</si>
  <si>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</si>
  <si>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</si>
  <si>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</si>
  <si>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</si>
  <si>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</si>
  <si>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</si>
  <si>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</si>
  <si>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</si>
  <si>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</si>
  <si>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</si>
  <si>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</si>
  <si>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</si>
  <si>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</si>
  <si>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</si>
  <si>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</si>
  <si>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</si>
  <si>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</si>
  <si>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</si>
  <si>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</si>
  <si>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</si>
  <si>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</si>
  <si>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</si>
  <si>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</si>
  <si>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</si>
  <si>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</si>
  <si>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</si>
  <si>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</si>
  <si>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</si>
  <si>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</si>
  <si>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</si>
  <si>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</si>
  <si>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</si>
  <si>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</si>
  <si>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</si>
  <si>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</si>
  <si>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</si>
  <si>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</si>
  <si>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</si>
  <si>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</si>
  <si>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</si>
  <si>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</si>
  <si>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</si>
  <si>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</si>
  <si>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</si>
  <si>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</si>
  <si>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</si>
  <si>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</si>
  <si>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</si>
  <si>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</si>
  <si>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</si>
  <si>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</si>
  <si>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</si>
  <si>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</si>
  <si>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</si>
  <si>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</si>
  <si>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</si>
  <si>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</si>
  <si>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</si>
  <si>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</si>
  <si>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</si>
  <si>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</si>
  <si>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</si>
  <si>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</si>
  <si>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</si>
  <si>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</si>
  <si>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</si>
  <si>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</si>
  <si>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</si>
  <si>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</si>
  <si>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</si>
  <si>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</si>
  <si>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</si>
  <si>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</si>
  <si>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</si>
  <si>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</si>
  <si>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</si>
  <si>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</si>
  <si>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</si>
  <si>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</si>
  <si>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</si>
  <si>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</si>
  <si>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</si>
  <si>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</si>
  <si>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</si>
  <si>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</si>
  <si>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</si>
  <si>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</si>
  <si>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</si>
  <si>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</si>
  <si>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</si>
  <si>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</si>
  <si>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</si>
  <si>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</si>
  <si>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</si>
  <si>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</si>
  <si>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</si>
  <si>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</si>
  <si>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</si>
  <si>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</si>
  <si>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</si>
  <si>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</si>
  <si>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</si>
  <si>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</si>
  <si>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</si>
  <si>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</si>
  <si>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</si>
  <si>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</si>
  <si>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</si>
  <si>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</si>
  <si>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</si>
  <si>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</si>
  <si>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</si>
  <si>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</si>
  <si>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</si>
  <si>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</si>
  <si>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</si>
  <si>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</si>
  <si>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</si>
  <si>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</si>
  <si>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</si>
  <si>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</si>
  <si>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</si>
  <si>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</si>
  <si>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</si>
  <si>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</si>
  <si>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</si>
  <si>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</si>
  <si>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</si>
  <si>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</si>
  <si>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</si>
  <si>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</si>
  <si>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</si>
  <si>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</si>
  <si>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</si>
  <si>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</si>
  <si>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</si>
  <si>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</si>
  <si>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</si>
  <si>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</si>
  <si>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</si>
  <si>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</si>
  <si>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</si>
  <si>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</si>
  <si>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</si>
  <si>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</si>
  <si>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</si>
  <si>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</si>
  <si>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</si>
  <si>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</si>
  <si>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</si>
  <si>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</si>
  <si>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</si>
  <si>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</si>
  <si>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</si>
  <si>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</si>
  <si>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</si>
  <si>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</si>
  <si>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</si>
  <si>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</si>
  <si>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</si>
  <si>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</si>
  <si>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</si>
  <si>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</si>
  <si>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</si>
  <si>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</si>
  <si>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</si>
  <si>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</si>
  <si>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</si>
  <si>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</si>
  <si>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</si>
  <si>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</si>
  <si>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</si>
  <si>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</si>
  <si>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</si>
  <si>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</si>
  <si>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</si>
  <si>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</si>
  <si>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</si>
  <si>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</si>
  <si>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</si>
  <si>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</si>
  <si>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</si>
  <si>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</si>
  <si>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</si>
  <si>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</si>
  <si>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</si>
  <si>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</si>
  <si>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</si>
  <si>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</si>
  <si>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</si>
  <si>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</si>
  <si>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</si>
  <si>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</si>
  <si>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</si>
  <si>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</si>
  <si>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</si>
  <si>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</si>
  <si>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</si>
  <si>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</si>
  <si>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</si>
  <si>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</si>
  <si>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</si>
  <si>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</si>
  <si>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</si>
  <si>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</si>
  <si>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</si>
  <si>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</si>
  <si>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</si>
  <si>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</si>
  <si>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</si>
  <si>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</si>
  <si>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</si>
  <si>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</si>
  <si>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</si>
  <si>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</si>
  <si>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</si>
  <si>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</si>
  <si>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</si>
  <si>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</si>
  <si>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</si>
  <si>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</si>
  <si>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</si>
  <si>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</si>
  <si>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</si>
  <si>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</si>
  <si>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</si>
  <si>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</si>
  <si>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</si>
  <si>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</si>
  <si>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</si>
  <si>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</si>
  <si>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</si>
  <si>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</si>
  <si>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</si>
  <si>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</si>
  <si>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</si>
  <si>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</si>
  <si>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</si>
  <si>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</si>
  <si>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</si>
  <si>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</si>
  <si>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</si>
  <si>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</si>
  <si>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</si>
  <si>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</si>
  <si>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</si>
  <si>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</si>
  <si>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</si>
  <si>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</si>
  <si>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</si>
  <si>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</si>
  <si>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</si>
  <si>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</si>
  <si>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</si>
  <si>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</si>
  <si>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</si>
  <si>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</si>
  <si>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</si>
  <si>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</si>
  <si>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</si>
  <si>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</si>
  <si>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</si>
  <si>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</si>
  <si>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</si>
  <si>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</si>
  <si>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</si>
  <si>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</si>
  <si>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</si>
  <si>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</si>
  <si>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</si>
  <si>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</si>
  <si>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</si>
  <si>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</si>
  <si>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</si>
  <si>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</si>
  <si>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</si>
  <si>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</si>
  <si>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</si>
  <si>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</si>
  <si>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</si>
  <si>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</si>
  <si>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</si>
  <si>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</si>
  <si>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</si>
  <si>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</si>
  <si>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</si>
  <si>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</si>
  <si>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</si>
  <si>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</si>
  <si>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</si>
  <si>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</si>
  <si>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</si>
  <si>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</si>
  <si>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</si>
  <si>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</si>
  <si>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</si>
  <si>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</si>
  <si>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</si>
  <si>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</si>
  <si>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</si>
  <si>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</si>
  <si>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</si>
  <si>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</si>
  <si>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</si>
  <si>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</si>
  <si>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</si>
  <si>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</si>
  <si>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</si>
  <si>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</si>
  <si>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</si>
  <si>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</si>
  <si>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</si>
  <si>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</si>
  <si>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</si>
  <si>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</si>
  <si>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</si>
  <si>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</si>
  <si>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</si>
  <si>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</si>
  <si>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</si>
  <si>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</si>
  <si>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</si>
  <si>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</si>
  <si>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</si>
  <si>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</si>
  <si>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</si>
  <si>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</si>
  <si>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</si>
  <si>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</si>
  <si>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</si>
  <si>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</si>
  <si>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</si>
  <si>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</si>
  <si>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</si>
  <si>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</si>
  <si>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</si>
  <si>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</si>
  <si>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</si>
  <si>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</si>
  <si>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</si>
  <si>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</si>
  <si>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</si>
  <si>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</si>
  <si>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</si>
  <si>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</si>
  <si>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</si>
  <si>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</si>
  <si>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</si>
  <si>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</si>
  <si>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</si>
  <si>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</si>
  <si>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</si>
  <si>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</si>
  <si>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</si>
  <si>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</si>
  <si>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</si>
  <si>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</si>
  <si>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</si>
  <si>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</si>
  <si>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</si>
  <si>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</si>
  <si>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</si>
  <si>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</si>
  <si>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</si>
  <si>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</si>
  <si>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</si>
  <si>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</si>
  <si>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</si>
  <si>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</si>
  <si>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</si>
  <si>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</si>
  <si>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</si>
  <si>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</si>
  <si>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</si>
  <si>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</si>
  <si>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</si>
  <si>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</si>
  <si>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</si>
  <si>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</si>
  <si>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</si>
  <si>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</si>
  <si>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</si>
  <si>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</si>
  <si>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</si>
  <si>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</si>
  <si>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</si>
  <si>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</si>
  <si>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</si>
  <si>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</si>
  <si>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</si>
  <si>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</si>
  <si>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</si>
  <si>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</si>
  <si>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</si>
  <si>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</si>
  <si>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</si>
  <si>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</si>
  <si>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</si>
  <si>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</si>
  <si>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</si>
  <si>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</si>
  <si>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</si>
  <si>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</si>
  <si>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</si>
  <si>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</si>
  <si>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</si>
  <si>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</si>
  <si>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</si>
  <si>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</si>
  <si>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</si>
  <si>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</si>
  <si>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</si>
  <si>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</si>
  <si>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</si>
  <si>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</si>
  <si>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</si>
  <si>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</si>
  <si>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</si>
  <si>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</si>
  <si>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</si>
  <si>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</si>
  <si>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</si>
  <si>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</si>
  <si>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</si>
  <si>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</si>
  <si>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</si>
  <si>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</si>
  <si>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</si>
  <si>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</si>
  <si>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</si>
  <si>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</si>
  <si>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</si>
  <si>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</si>
  <si>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</si>
  <si>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</si>
  <si>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</si>
  <si>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</si>
  <si>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</si>
  <si>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</si>
  <si>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</si>
  <si>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</si>
  <si>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</si>
  <si>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</si>
  <si>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</si>
  <si>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</si>
  <si>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</si>
  <si>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</si>
  <si>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</si>
  <si>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</si>
  <si>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</si>
  <si>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</si>
  <si>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</si>
  <si>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</si>
  <si>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</si>
  <si>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</si>
  <si>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</si>
  <si>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</si>
  <si>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</si>
  <si>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</si>
  <si>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</si>
  <si>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</si>
  <si>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</si>
  <si>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</si>
  <si>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</si>
  <si>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</si>
  <si>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</si>
  <si>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</si>
  <si>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</si>
  <si>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</si>
  <si>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</si>
  <si>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</si>
  <si>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</si>
  <si>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</si>
  <si>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</si>
  <si>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</si>
  <si>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</si>
  <si>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</si>
  <si>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</si>
  <si>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</si>
  <si>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</si>
  <si>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</si>
  <si>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</si>
  <si>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</si>
  <si>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</si>
  <si>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</si>
  <si>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</si>
  <si>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</si>
  <si>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</si>
  <si>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</si>
  <si>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</si>
  <si>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</si>
  <si>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</si>
  <si>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</si>
  <si>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</si>
  <si>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</si>
  <si>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</si>
  <si>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</si>
  <si>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</si>
  <si>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</si>
  <si>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</si>
  <si>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</si>
  <si>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</si>
  <si>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</si>
  <si>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</si>
  <si>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</si>
  <si>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</si>
  <si>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</si>
  <si>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</si>
  <si>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</si>
  <si>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</si>
  <si>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</si>
  <si>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</si>
  <si>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</si>
  <si>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</si>
  <si>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</si>
  <si>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</si>
  <si>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</si>
  <si>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</si>
  <si>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</si>
  <si>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</si>
  <si>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</si>
  <si>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</si>
  <si>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</si>
  <si>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</si>
  <si>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</si>
  <si>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</si>
  <si>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</si>
  <si>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</si>
  <si>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</si>
  <si>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</si>
  <si>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</si>
  <si>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</si>
  <si>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</si>
  <si>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</si>
  <si>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</si>
  <si>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</si>
  <si>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</si>
  <si>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</si>
  <si>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</si>
  <si>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</si>
  <si>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</si>
  <si>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</si>
  <si>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</si>
  <si>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</si>
  <si>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</si>
  <si>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</si>
  <si>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</si>
  <si>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</si>
  <si>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</si>
  <si>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</si>
  <si>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</si>
  <si>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</si>
  <si>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</si>
  <si>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</si>
  <si>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</si>
  <si>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</si>
  <si>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</si>
  <si>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</si>
  <si>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</si>
  <si>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</si>
  <si>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</si>
  <si>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</si>
  <si>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</si>
  <si>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</si>
  <si>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</si>
  <si>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</si>
  <si>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</si>
  <si>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</si>
  <si>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</si>
  <si>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</si>
  <si>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</si>
  <si>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</si>
  <si>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</si>
  <si>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</si>
  <si>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</si>
  <si>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</si>
  <si>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</si>
  <si>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</si>
  <si>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</si>
  <si>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</si>
  <si>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</si>
  <si>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</si>
  <si>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</si>
  <si>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</si>
  <si>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</si>
  <si>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</si>
  <si>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</si>
  <si>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</si>
  <si>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</si>
  <si>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</si>
  <si>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</si>
  <si>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</si>
  <si>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</si>
  <si>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</si>
  <si>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</si>
  <si>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</si>
  <si>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</si>
  <si>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</si>
  <si>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</si>
  <si>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</si>
  <si>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</si>
  <si>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</si>
  <si>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</si>
  <si>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</si>
  <si>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</si>
  <si>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</si>
  <si>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</si>
  <si>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</si>
  <si>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</si>
  <si>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</si>
  <si>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</si>
  <si>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</si>
  <si>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</si>
  <si>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</si>
  <si>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</si>
  <si>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</si>
  <si>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</si>
  <si>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</si>
  <si>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</si>
  <si>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</si>
  <si>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</si>
  <si>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</si>
  <si>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</si>
  <si>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</si>
  <si>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</si>
  <si>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</si>
  <si>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</si>
  <si>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</si>
  <si>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</si>
  <si>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</si>
  <si>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</si>
  <si>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</si>
  <si>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</si>
  <si>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</si>
  <si>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</si>
  <si>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</si>
  <si>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</si>
  <si>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</si>
  <si>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</si>
  <si>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</si>
  <si>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</si>
  <si>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</si>
  <si>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</si>
  <si>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</si>
  <si>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</si>
  <si>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</si>
  <si>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</si>
  <si>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</si>
  <si>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</si>
  <si>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</si>
  <si>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</si>
  <si>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</si>
  <si>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</si>
  <si>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</si>
  <si>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</si>
  <si>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</si>
  <si>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</si>
  <si>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</si>
  <si>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</si>
  <si>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</si>
  <si>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</si>
  <si>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</si>
  <si>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</si>
  <si>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</si>
  <si>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</si>
  <si>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</si>
  <si>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</si>
  <si>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</si>
  <si>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</si>
  <si>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</si>
  <si>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</si>
  <si>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</si>
  <si>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</si>
  <si>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</si>
  <si>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</si>
  <si>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</si>
  <si>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</si>
  <si>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</si>
  <si>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</si>
  <si>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</si>
  <si>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</si>
  <si>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</si>
  <si>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</si>
  <si>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</si>
  <si>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</si>
  <si>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</si>
  <si>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</si>
  <si>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</si>
  <si>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</si>
  <si>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</si>
  <si>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</si>
  <si>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</si>
  <si>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</si>
  <si>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</si>
  <si>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</si>
  <si>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</si>
  <si>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</si>
  <si>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</si>
  <si>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</si>
  <si>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</si>
  <si>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</si>
  <si>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</si>
  <si>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</si>
  <si>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</si>
  <si>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</si>
  <si>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</si>
  <si>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</si>
  <si>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</si>
  <si>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</si>
  <si>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</si>
  <si>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</si>
  <si>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</si>
  <si>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</si>
  <si>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</si>
  <si>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</si>
  <si>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</si>
  <si>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</si>
  <si>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</si>
  <si>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</si>
  <si>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</si>
  <si>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</si>
  <si>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</si>
  <si>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</si>
  <si>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</si>
  <si>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</si>
  <si>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</si>
  <si>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</si>
  <si>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</si>
  <si>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</si>
  <si>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</si>
  <si>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</si>
  <si>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</si>
  <si>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</si>
  <si>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</si>
  <si>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</si>
  <si>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</si>
  <si>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</si>
  <si>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</si>
  <si>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</si>
  <si>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</si>
  <si>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</si>
  <si>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</si>
  <si>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</si>
  <si>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</si>
  <si>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</si>
  <si>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</si>
  <si>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</si>
  <si>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</si>
  <si>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</si>
  <si>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</si>
  <si>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</si>
  <si>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</si>
  <si>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</si>
  <si>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</si>
  <si>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</si>
  <si>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</si>
  <si>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</si>
  <si>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</si>
  <si>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</si>
  <si>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</si>
  <si>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</si>
  <si>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</si>
  <si>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</si>
  <si>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</si>
  <si>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</si>
  <si>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</si>
  <si>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</si>
  <si>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</si>
  <si>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</si>
  <si>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</si>
  <si>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</si>
  <si>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</si>
  <si>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</si>
  <si>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</si>
  <si>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</si>
  <si>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</si>
  <si>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</si>
  <si>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</si>
  <si>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</si>
  <si>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</si>
  <si>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</si>
  <si>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</si>
  <si>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</si>
  <si>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</si>
  <si>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</si>
  <si>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</si>
  <si>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</si>
  <si>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</si>
  <si>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</si>
  <si>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</si>
  <si>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</si>
  <si>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</si>
  <si>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</si>
  <si>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</si>
  <si>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</si>
  <si>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</si>
  <si>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</si>
  <si>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</si>
  <si>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</si>
  <si>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</si>
  <si>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</si>
  <si>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</si>
  <si>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</si>
  <si>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</si>
  <si>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</si>
  <si>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</si>
  <si>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</si>
  <si>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</si>
  <si>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</si>
  <si>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</si>
  <si>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</si>
  <si>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</si>
  <si>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</si>
  <si>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</si>
  <si>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</si>
  <si>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</si>
  <si>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</si>
  <si>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</si>
  <si>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</si>
  <si>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</si>
  <si>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</si>
  <si>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</si>
  <si>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</si>
  <si>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</si>
  <si>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</si>
  <si>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</si>
  <si>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</si>
  <si>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</si>
  <si>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</si>
  <si>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</si>
  <si>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</si>
  <si>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</si>
  <si>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</si>
  <si>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</si>
  <si>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</si>
  <si>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</si>
  <si>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</si>
  <si>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</si>
  <si>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</si>
  <si>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</si>
  <si>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</si>
  <si>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</si>
  <si>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</si>
  <si>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</si>
  <si>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</si>
  <si>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</si>
  <si>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</si>
  <si>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</si>
  <si>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</si>
  <si>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</si>
  <si>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</si>
  <si>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</si>
  <si>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</si>
  <si>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</si>
  <si>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</si>
  <si>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</si>
  <si>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</si>
  <si>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</si>
  <si>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</si>
  <si>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</si>
  <si>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</si>
  <si>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</si>
  <si>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</si>
  <si>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</si>
  <si>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</si>
  <si>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</si>
  <si>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</si>
  <si>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</si>
  <si>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</si>
  <si>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</si>
  <si>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</si>
  <si>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</si>
  <si>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</si>
  <si>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</si>
  <si>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</si>
  <si>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</si>
  <si>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</si>
  <si>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</si>
  <si>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</si>
  <si>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</si>
  <si>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</si>
  <si>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</si>
  <si>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</si>
  <si>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</si>
  <si>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</si>
  <si>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</si>
  <si>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</si>
  <si>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</si>
  <si>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</si>
  <si>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</si>
  <si>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</si>
  <si>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</si>
  <si>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</si>
  <si>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</si>
  <si>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</si>
  <si>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</si>
  <si>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</si>
  <si>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</si>
  <si>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</si>
  <si>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</si>
  <si>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</si>
  <si>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</si>
  <si>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</si>
  <si>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</si>
  <si>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</si>
  <si>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</si>
  <si>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</si>
  <si>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</si>
  <si>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</si>
  <si>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</si>
  <si>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</si>
  <si>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</si>
  <si>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</si>
  <si>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</si>
  <si>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</si>
  <si>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</si>
  <si>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</si>
  <si>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</si>
  <si>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</si>
  <si>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</si>
  <si>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</si>
  <si>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</si>
  <si>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</si>
  <si>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</si>
  <si>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</si>
  <si>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</si>
  <si>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</si>
  <si>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</si>
  <si>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</si>
  <si>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</si>
  <si>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</si>
  <si>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</si>
  <si>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</si>
  <si>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</si>
  <si>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</si>
  <si>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</si>
  <si>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</si>
  <si>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</si>
  <si>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</si>
  <si>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</si>
  <si>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</si>
  <si>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</si>
  <si>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</si>
  <si>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</si>
  <si>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</si>
  <si>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</si>
  <si>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</si>
  <si>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</si>
  <si>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</si>
  <si>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</si>
  <si>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</si>
  <si>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</si>
  <si>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</si>
  <si>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</si>
  <si>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</si>
  <si>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</si>
  <si>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</si>
  <si>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</si>
  <si>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</si>
  <si>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</si>
  <si>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</si>
  <si>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</si>
  <si>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</si>
  <si>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</si>
  <si>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</si>
  <si>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</si>
  <si>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</si>
  <si>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</si>
  <si>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</si>
  <si>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</si>
  <si>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</si>
  <si>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</si>
  <si>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</si>
  <si>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</si>
  <si>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</si>
  <si>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</si>
  <si>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</si>
  <si>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</si>
  <si>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</si>
  <si>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</si>
  <si>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</si>
  <si>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</si>
  <si>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</si>
  <si>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</si>
  <si>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</si>
  <si>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</si>
  <si>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</si>
  <si>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</si>
  <si>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</si>
  <si>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</si>
  <si>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</si>
  <si>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</si>
  <si>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</si>
  <si>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</si>
  <si>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</si>
  <si>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</si>
  <si>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</si>
  <si>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</si>
  <si>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</si>
  <si>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</si>
  <si>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</si>
  <si>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</si>
  <si>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</si>
  <si>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</si>
  <si>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</si>
  <si>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</si>
  <si>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</si>
  <si>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</si>
  <si>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</si>
  <si>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</si>
  <si>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</si>
  <si>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</si>
  <si>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</si>
  <si>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</si>
  <si>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</si>
  <si>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</si>
  <si>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</si>
  <si>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</si>
  <si>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</si>
  <si>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</si>
  <si>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</si>
  <si>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</si>
  <si>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</si>
  <si>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</si>
  <si>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</si>
  <si>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</si>
  <si>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</si>
  <si>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</si>
  <si>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Apr</t>
  </si>
  <si>
    <t>May</t>
  </si>
  <si>
    <t>Oct</t>
  </si>
  <si>
    <t>Nov</t>
  </si>
  <si>
    <t>Dec</t>
  </si>
  <si>
    <t>2020</t>
  </si>
  <si>
    <t>Years (Order Date)</t>
  </si>
  <si>
    <t>Months (Order Date)</t>
  </si>
  <si>
    <t>Arabica</t>
  </si>
  <si>
    <t>Excelsa</t>
  </si>
  <si>
    <t>Liberica</t>
  </si>
  <si>
    <t>Robusta</t>
  </si>
  <si>
    <t>Sum of Sales</t>
  </si>
  <si>
    <t>Aug</t>
  </si>
  <si>
    <t>Sep</t>
  </si>
  <si>
    <t>Jun</t>
  </si>
  <si>
    <t>Jul</t>
  </si>
  <si>
    <t>2021</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</si>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</sst>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cellXfs>
  <cellStyles count="1">
    <cellStyle name="Normal" xfId="0" builtinId="0"/>
  </cellStyles>
  <dxfs count="16">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Light16">
    <tableStyle name="Purple Slicer" pivot="0" table="0" count="6" xr9:uid="{0D6A57F5-F81C-452B-8ED5-5EFFEB47873E}">
      <tableStyleElement type="wholeTable" dxfId="15"/>
      <tableStyleElement type="headerRow" dxfId="14"/>
    </tableStyle>
    <tableStyle name="Purple Timeline Style" pivot="0" table="0" count="8" xr9:uid="{2BCDEBA7-DFDF-4FE1-9353-EF4303F16C40}">
      <tableStyleElement type="wholeTable" dxfId="13"/>
      <tableStyleElement type="headerRow" dxfId="12"/>
    </tableStyle>
  </tableStyles>
  <colors>
    <mruColors>
      <color rgb="FF3C1464"/>
      <color rgb="FFAFFFD3"/>
      <color rgb="FF00EE6C"/>
      <color rgb="FF005024"/>
      <color rgb="FF9650DC"/>
      <color rgb="FF97450D"/>
      <color rgb="FFE0CBF5"/>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[coffeeOrdersProject.xlsx]TotalSales!TotalSales</c:name>
    <c:fmtId val="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68.655000000000001</c:v>
                </c:pt>
                <c:pt idx="1">
                  <c:v>148.92499999999998</c:v>
                </c:pt>
                <c:pt idx="2">
                  <c:v>137.19499999999999</c:v>
                </c:pt>
                <c:pt idx="3">
                  <c:v>155.24999999999997</c:v>
                </c:pt>
                <c:pt idx="4">
                  <c:v>29.784999999999997</c:v>
                </c:pt>
                <c:pt idx="5">
                  <c:v>155.24999999999997</c:v>
                </c:pt>
                <c:pt idx="6">
                  <c:v>272.43499999999995</c:v>
                </c:pt>
                <c:pt idx="7">
                  <c:v>226.54999999999995</c:v>
                </c:pt>
                <c:pt idx="8">
                  <c:v>178.70999999999998</c:v>
                </c:pt>
                <c:pt idx="9">
                  <c:v>100.50999999999999</c:v>
                </c:pt>
                <c:pt idx="10">
                  <c:v>178.70999999999998</c:v>
                </c:pt>
                <c:pt idx="11">
                  <c:v>155.24999999999997</c:v>
                </c:pt>
                <c:pt idx="13">
                  <c:v>678.38499999999999</c:v>
                </c:pt>
                <c:pt idx="16">
                  <c:v>77.624999999999986</c:v>
                </c:pt>
                <c:pt idx="17">
                  <c:v>473.33999999999992</c:v>
                </c:pt>
                <c:pt idx="18">
                  <c:v>297.84999999999997</c:v>
                </c:pt>
                <c:pt idx="20">
                  <c:v>91.539999999999992</c:v>
                </c:pt>
                <c:pt idx="21">
                  <c:v>198.02999999999997</c:v>
                </c:pt>
                <c:pt idx="22">
                  <c:v>476.32999999999993</c:v>
                </c:pt>
                <c:pt idx="24">
                  <c:v>77.624999999999986</c:v>
                </c:pt>
                <c:pt idx="25">
                  <c:v>217.92499999999995</c:v>
                </c:pt>
                <c:pt idx="26">
                  <c:v>268.06499999999994</c:v>
                </c:pt>
                <c:pt idx="28">
                  <c:v>103.49999999999999</c:v>
                </c:pt>
                <c:pt idx="29">
                  <c:v>240.80999999999997</c:v>
                </c:pt>
                <c:pt idx="31">
                  <c:v>141.10499999999999</c:v>
                </c:pt>
                <c:pt idx="32">
                  <c:v>629.27999999999986</c:v>
                </c:pt>
                <c:pt idx="33">
                  <c:v>166.17499999999998</c:v>
                </c:pt>
                <c:pt idx="34">
                  <c:v>137.31</c:v>
                </c:pt>
                <c:pt idx="35">
                  <c:v>178.70999999999998</c:v>
                </c:pt>
                <c:pt idx="36">
                  <c:v>51.749999999999993</c:v>
                </c:pt>
                <c:pt idx="38">
                  <c:v>148.92499999999998</c:v>
                </c:pt>
                <c:pt idx="39">
                  <c:v>51.749999999999993</c:v>
                </c:pt>
                <c:pt idx="40">
                  <c:v>71.644999999999996</c:v>
                </c:pt>
                <c:pt idx="42">
                  <c:v>195.95999999999998</c:v>
                </c:pt>
                <c:pt idx="43">
                  <c:v>29.784999999999997</c:v>
                </c:pt>
              </c:numCache>
            </c:numRef>
          </c:val>
          <c:smooth val="0"/>
          <c:extLst>
            <c:ext xmlns:c16="http://schemas.microsoft.com/office/drawing/2014/chart" uri="{C3380CC4-5D6E-409C-BE32-E72D297353CC}">
              <c16:uniqueId val="{00000000-1DAC-45B3-B4C2-B35C53C10A51}"/>
            </c:ext>
          </c:extLst>
        </c:ser>
        <c:ser>
          <c:idx val="1"/>
          <c:order val="1"/>
          <c:tx>
            <c:strRef>
              <c:f>TotalSales!$D$3:$D$4</c:f>
              <c:strCache>
                <c:ptCount val="1"/>
                <c:pt idx="0">
                  <c:v>Excelsa</c:v>
                </c:pt>
              </c:strCache>
            </c:strRef>
          </c:tx>
          <c:spPr>
            <a:ln w="28575" cap="rnd">
              <a:solidFill>
                <a:srgbClr val="97450D"/>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111.78</c:v>
                </c:pt>
                <c:pt idx="2">
                  <c:v>230.92000000000002</c:v>
                </c:pt>
                <c:pt idx="3">
                  <c:v>512.32499999999993</c:v>
                </c:pt>
                <c:pt idx="5">
                  <c:v>626.17499999999995</c:v>
                </c:pt>
                <c:pt idx="6">
                  <c:v>204.92999999999995</c:v>
                </c:pt>
                <c:pt idx="9">
                  <c:v>96.254999999999995</c:v>
                </c:pt>
                <c:pt idx="10">
                  <c:v>63.249999999999993</c:v>
                </c:pt>
                <c:pt idx="11">
                  <c:v>444.01499999999987</c:v>
                </c:pt>
                <c:pt idx="13">
                  <c:v>227.24</c:v>
                </c:pt>
                <c:pt idx="14">
                  <c:v>62.099999999999994</c:v>
                </c:pt>
                <c:pt idx="15">
                  <c:v>252.99999999999997</c:v>
                </c:pt>
                <c:pt idx="16">
                  <c:v>472.88</c:v>
                </c:pt>
                <c:pt idx="17">
                  <c:v>165.71499999999997</c:v>
                </c:pt>
                <c:pt idx="18">
                  <c:v>31.624999999999996</c:v>
                </c:pt>
                <c:pt idx="21">
                  <c:v>254.60999999999999</c:v>
                </c:pt>
                <c:pt idx="22">
                  <c:v>111.78</c:v>
                </c:pt>
                <c:pt idx="23">
                  <c:v>171.35</c:v>
                </c:pt>
                <c:pt idx="24">
                  <c:v>31.624999999999996</c:v>
                </c:pt>
                <c:pt idx="25">
                  <c:v>139.72499999999999</c:v>
                </c:pt>
                <c:pt idx="26">
                  <c:v>194.80999999999997</c:v>
                </c:pt>
                <c:pt idx="27">
                  <c:v>147.08500000000001</c:v>
                </c:pt>
                <c:pt idx="30">
                  <c:v>189.74999999999997</c:v>
                </c:pt>
                <c:pt idx="31">
                  <c:v>111.78</c:v>
                </c:pt>
                <c:pt idx="32">
                  <c:v>83.835000000000008</c:v>
                </c:pt>
                <c:pt idx="33">
                  <c:v>187.45</c:v>
                </c:pt>
                <c:pt idx="34">
                  <c:v>297.84999999999997</c:v>
                </c:pt>
                <c:pt idx="37">
                  <c:v>55.89</c:v>
                </c:pt>
                <c:pt idx="38">
                  <c:v>102.46499999999997</c:v>
                </c:pt>
                <c:pt idx="39">
                  <c:v>164.56499999999997</c:v>
                </c:pt>
                <c:pt idx="40">
                  <c:v>126.49999999999999</c:v>
                </c:pt>
                <c:pt idx="41">
                  <c:v>359.37499999999994</c:v>
                </c:pt>
                <c:pt idx="42">
                  <c:v>158.12499999999997</c:v>
                </c:pt>
              </c:numCache>
            </c:numRef>
          </c:val>
          <c:smooth val="0"/>
          <c:extLst>
            <c:ext xmlns:c16="http://schemas.microsoft.com/office/drawing/2014/chart" uri="{C3380CC4-5D6E-409C-BE32-E72D297353CC}">
              <c16:uniqueId val="{00000001-1DAC-45B3-B4C2-B35C53C10A51}"/>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36.454999999999998</c:v>
                </c:pt>
                <c:pt idx="1">
                  <c:v>271.74499999999995</c:v>
                </c:pt>
                <c:pt idx="2">
                  <c:v>133.85999999999999</c:v>
                </c:pt>
                <c:pt idx="3">
                  <c:v>316.13499999999999</c:v>
                </c:pt>
                <c:pt idx="4">
                  <c:v>145.82</c:v>
                </c:pt>
                <c:pt idx="5">
                  <c:v>89.35499999999999</c:v>
                </c:pt>
                <c:pt idx="8">
                  <c:v>273.69999999999993</c:v>
                </c:pt>
                <c:pt idx="9">
                  <c:v>109.36499999999999</c:v>
                </c:pt>
                <c:pt idx="10">
                  <c:v>272.32</c:v>
                </c:pt>
                <c:pt idx="12">
                  <c:v>189.05999999999997</c:v>
                </c:pt>
                <c:pt idx="13">
                  <c:v>89.35499999999999</c:v>
                </c:pt>
                <c:pt idx="14">
                  <c:v>148.92499999999998</c:v>
                </c:pt>
                <c:pt idx="15">
                  <c:v>33.464999999999996</c:v>
                </c:pt>
                <c:pt idx="16">
                  <c:v>33.464999999999996</c:v>
                </c:pt>
                <c:pt idx="17">
                  <c:v>192.04999999999998</c:v>
                </c:pt>
                <c:pt idx="18">
                  <c:v>36.454999999999998</c:v>
                </c:pt>
                <c:pt idx="21">
                  <c:v>238.27999999999997</c:v>
                </c:pt>
                <c:pt idx="22">
                  <c:v>228.505</c:v>
                </c:pt>
                <c:pt idx="24">
                  <c:v>29.784999999999997</c:v>
                </c:pt>
                <c:pt idx="25">
                  <c:v>139.83999999999997</c:v>
                </c:pt>
                <c:pt idx="26">
                  <c:v>228.505</c:v>
                </c:pt>
                <c:pt idx="27">
                  <c:v>401.005</c:v>
                </c:pt>
                <c:pt idx="28">
                  <c:v>148.92499999999998</c:v>
                </c:pt>
                <c:pt idx="29">
                  <c:v>148.92499999999998</c:v>
                </c:pt>
                <c:pt idx="33">
                  <c:v>251.61999999999998</c:v>
                </c:pt>
                <c:pt idx="34">
                  <c:v>119.13999999999999</c:v>
                </c:pt>
                <c:pt idx="35">
                  <c:v>212.75</c:v>
                </c:pt>
                <c:pt idx="36">
                  <c:v>625.71499999999992</c:v>
                </c:pt>
                <c:pt idx="37">
                  <c:v>36.454999999999998</c:v>
                </c:pt>
                <c:pt idx="38">
                  <c:v>296.125</c:v>
                </c:pt>
                <c:pt idx="40">
                  <c:v>163.64499999999998</c:v>
                </c:pt>
                <c:pt idx="41">
                  <c:v>145.82</c:v>
                </c:pt>
                <c:pt idx="42">
                  <c:v>178.70999999999998</c:v>
                </c:pt>
              </c:numCache>
            </c:numRef>
          </c:val>
          <c:smooth val="0"/>
          <c:extLst>
            <c:ext xmlns:c16="http://schemas.microsoft.com/office/drawing/2014/chart" uri="{C3380CC4-5D6E-409C-BE32-E72D297353CC}">
              <c16:uniqueId val="{00000002-1DAC-45B3-B4C2-B35C53C10A51}"/>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1">
                  <c:v>41.169999999999995</c:v>
                </c:pt>
                <c:pt idx="3">
                  <c:v>54.969999999999992</c:v>
                </c:pt>
                <c:pt idx="5">
                  <c:v>219.76499999999999</c:v>
                </c:pt>
                <c:pt idx="6">
                  <c:v>123.50999999999999</c:v>
                </c:pt>
                <c:pt idx="7">
                  <c:v>68.655000000000001</c:v>
                </c:pt>
                <c:pt idx="8">
                  <c:v>361.55999999999995</c:v>
                </c:pt>
                <c:pt idx="11">
                  <c:v>130.52499999999998</c:v>
                </c:pt>
                <c:pt idx="12">
                  <c:v>27.484999999999996</c:v>
                </c:pt>
                <c:pt idx="13">
                  <c:v>357.30499999999995</c:v>
                </c:pt>
                <c:pt idx="14">
                  <c:v>137.31</c:v>
                </c:pt>
                <c:pt idx="15">
                  <c:v>196.76499999999999</c:v>
                </c:pt>
                <c:pt idx="16">
                  <c:v>41.169999999999995</c:v>
                </c:pt>
                <c:pt idx="17">
                  <c:v>132.82499999999999</c:v>
                </c:pt>
                <c:pt idx="18">
                  <c:v>247.01999999999995</c:v>
                </c:pt>
                <c:pt idx="19">
                  <c:v>41.169999999999995</c:v>
                </c:pt>
                <c:pt idx="20">
                  <c:v>155.70999999999998</c:v>
                </c:pt>
                <c:pt idx="21">
                  <c:v>109.93999999999998</c:v>
                </c:pt>
                <c:pt idx="22">
                  <c:v>27.484999999999996</c:v>
                </c:pt>
                <c:pt idx="23">
                  <c:v>45.769999999999996</c:v>
                </c:pt>
                <c:pt idx="24">
                  <c:v>91.539999999999992</c:v>
                </c:pt>
                <c:pt idx="27">
                  <c:v>82.339999999999989</c:v>
                </c:pt>
                <c:pt idx="28">
                  <c:v>192.39499999999995</c:v>
                </c:pt>
                <c:pt idx="29">
                  <c:v>61.754999999999995</c:v>
                </c:pt>
                <c:pt idx="30">
                  <c:v>109.93999999999998</c:v>
                </c:pt>
                <c:pt idx="31">
                  <c:v>196.76499999999999</c:v>
                </c:pt>
                <c:pt idx="32">
                  <c:v>109.93999999999998</c:v>
                </c:pt>
                <c:pt idx="33">
                  <c:v>91.539999999999992</c:v>
                </c:pt>
                <c:pt idx="34">
                  <c:v>68.655000000000001</c:v>
                </c:pt>
                <c:pt idx="35">
                  <c:v>137.42499999999998</c:v>
                </c:pt>
                <c:pt idx="36">
                  <c:v>45.769999999999996</c:v>
                </c:pt>
                <c:pt idx="38">
                  <c:v>288.4199999999999</c:v>
                </c:pt>
                <c:pt idx="39">
                  <c:v>102.92499999999998</c:v>
                </c:pt>
                <c:pt idx="40">
                  <c:v>164.67999999999998</c:v>
                </c:pt>
                <c:pt idx="41">
                  <c:v>308.89</c:v>
                </c:pt>
                <c:pt idx="42">
                  <c:v>45.769999999999996</c:v>
                </c:pt>
              </c:numCache>
            </c:numRef>
          </c:val>
          <c:smooth val="0"/>
          <c:extLst>
            <c:ext xmlns:c16="http://schemas.microsoft.com/office/drawing/2014/chart" uri="{C3380CC4-5D6E-409C-BE32-E72D297353CC}">
              <c16:uniqueId val="{00000005-1DAC-45B3-B4C2-B35C53C10A51}"/>
            </c:ext>
          </c:extLst>
        </c:ser>
        <c:dLbls>
          <c:showLegendKey val="0"/>
          <c:showVal val="0"/>
          <c:showCatName val="0"/>
          <c:showSerName val="0"/>
          <c:showPercent val="0"/>
          <c:showBubbleSize val="0"/>
        </c:dLbls>
        <c:smooth val="0"/>
        <c:axId val="2063883439"/>
        <c:axId val="2063883919"/>
      </c:lineChart>
      <c:catAx>
        <c:axId val="206388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919"/>
        <c:crosses val="autoZero"/>
        <c:auto val="1"/>
        <c:lblAlgn val="ctr"/>
        <c:lblOffset val="100"/>
        <c:noMultiLvlLbl val="0"/>
      </c:catAx>
      <c:valAx>
        <c:axId val="2063883919"/>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[coffeeOrdersProject.xlsx]CountryBarChart!TotalSales</c:name>
    <c:fmtId val="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FFFD3"/>
          </a:solidFill>
          <a:ln w="25400">
            <a:solidFill>
              <a:schemeClr val="bg1"/>
            </a:solidFill>
          </a:ln>
          <a:effectLst/>
        </c:spPr>
      </c:pivotFmt>
      <c:pivotFmt>
        <c:idx val="10"/>
        <c:spPr>
          <a:solidFill>
            <a:srgbClr val="00EE6C"/>
          </a:solidFill>
          <a:ln w="25400">
            <a:solidFill>
              <a:schemeClr val="bg1"/>
            </a:solidFill>
          </a:ln>
          <a:effectLst/>
        </c:spPr>
      </c:pivotFmt>
      <c:pivotFmt>
        <c:idx val="11"/>
        <c:spPr>
          <a:solidFill>
            <a:srgbClr val="005024"/>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AFFFD3"/>
              </a:solidFill>
              <a:ln w="25400">
                <a:solidFill>
                  <a:schemeClr val="bg1"/>
                </a:solidFill>
              </a:ln>
              <a:effectLst/>
            </c:spPr>
            <c:extLst>
              <c:ext xmlns:c16="http://schemas.microsoft.com/office/drawing/2014/chart" uri="{C3380CC4-5D6E-409C-BE32-E72D297353CC}">
                <c16:uniqueId val="{00000001-C0F8-482B-8B47-D1EC9A4F6D04}"/>
              </c:ext>
            </c:extLst>
          </c:dPt>
          <c:dPt>
            <c:idx val="1"/>
            <c:invertIfNegative val="0"/>
            <c:bubble3D val="0"/>
            <c:spPr>
              <a:solidFill>
                <a:srgbClr val="00EE6C"/>
              </a:solidFill>
              <a:ln w="25400">
                <a:solidFill>
                  <a:schemeClr val="bg1"/>
                </a:solidFill>
              </a:ln>
              <a:effectLst/>
            </c:spPr>
            <c:extLst>
              <c:ext xmlns:c16="http://schemas.microsoft.com/office/drawing/2014/chart" uri="{C3380CC4-5D6E-409C-BE32-E72D297353CC}">
                <c16:uniqueId val="{00000003-C0F8-482B-8B47-D1EC9A4F6D04}"/>
              </c:ext>
            </c:extLst>
          </c:dPt>
          <c:dPt>
            <c:idx val="2"/>
            <c:invertIfNegative val="0"/>
            <c:bubble3D val="0"/>
            <c:spPr>
              <a:solidFill>
                <a:srgbClr val="005024"/>
              </a:solidFill>
              <a:ln w="25400">
                <a:solidFill>
                  <a:schemeClr val="bg1"/>
                </a:solidFill>
              </a:ln>
              <a:effectLst/>
            </c:spPr>
            <c:extLst>
              <c:ext xmlns:c16="http://schemas.microsoft.com/office/drawing/2014/chart" uri="{C3380CC4-5D6E-409C-BE32-E72D297353CC}">
                <c16:uniqueId val="{00000005-C0F8-482B-8B47-D1EC9A4F6D04}"/>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1173.92</c:v>
                </c:pt>
                <c:pt idx="1">
                  <c:v>3570.29</c:v>
                </c:pt>
                <c:pt idx="2">
                  <c:v>19041.354999999992</c:v>
                </c:pt>
              </c:numCache>
            </c:numRef>
          </c:val>
          <c:extLst>
            <c:ext xmlns:c16="http://schemas.microsoft.com/office/drawing/2014/chart" uri="{C3380CC4-5D6E-409C-BE32-E72D297353CC}">
              <c16:uniqueId val="{00000006-C0F8-482B-8B47-D1EC9A4F6D04}"/>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[coffeeOrdersProject.xlsx]Top5Customers!TotalSales</c:name>
    <c:fmtId val="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4CED-4D0D-AFCB-00347DAE85CA}"/>
              </c:ext>
            </c:extLst>
          </c:dPt>
          <c:dPt>
            <c:idx val="1"/>
            <c:invertIfNegative val="0"/>
            <c:bubble3D val="0"/>
            <c:extLst>
              <c:ext xmlns:c16="http://schemas.microsoft.com/office/drawing/2014/chart" uri="{C3380CC4-5D6E-409C-BE32-E72D297353CC}">
                <c16:uniqueId val="{00000001-4CED-4D0D-AFCB-00347DAE85CA}"/>
              </c:ext>
            </c:extLst>
          </c:dPt>
          <c:dPt>
            <c:idx val="2"/>
            <c:invertIfNegative val="0"/>
            <c:bubble3D val="0"/>
            <c:extLst>
              <c:ext xmlns:c16="http://schemas.microsoft.com/office/drawing/2014/chart" uri="{C3380CC4-5D6E-409C-BE32-E72D297353CC}">
                <c16:uniqueId val="{00000002-4CED-4D0D-AFCB-00347DAE85CA}"/>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Top5Customers!$A$4:$A$12</c:f>
              <c:strCache>
                <c:ptCount val="9"/>
                <c:pt idx="0">
                  <c:v>Elysee Sketch</c:v>
                </c:pt>
                <c:pt idx="1">
                  <c:v>Lacee Tanti</c:v>
                </c:pt>
                <c:pt idx="2">
                  <c:v>Teddi Crowthe</c:v>
                </c:pt>
                <c:pt idx="3">
                  <c:v>Nanny Lush</c:v>
                </c:pt>
                <c:pt idx="4">
                  <c:v>Daniel Heinonen</c:v>
                </c:pt>
                <c:pt idx="5">
                  <c:v>Shelli Keynd</c:v>
                </c:pt>
                <c:pt idx="6">
                  <c:v>Alexa Sizey</c:v>
                </c:pt>
                <c:pt idx="7">
                  <c:v>Allis Wilmore</c:v>
                </c:pt>
                <c:pt idx="8">
                  <c:v>Brenn Dundredge</c:v>
                </c:pt>
              </c:strCache>
            </c:strRef>
          </c:cat>
          <c:val>
            <c:numRef>
              <c:f>Top5Customers!$B$4:$B$12</c:f>
              <c:numCache>
                <c:formatCode>[$$-409]#,##0</c:formatCode>
                <c:ptCount val="9"/>
                <c:pt idx="0">
                  <c:v>204.92999999999995</c:v>
                </c:pt>
                <c:pt idx="1">
                  <c:v>204.92999999999995</c:v>
                </c:pt>
                <c:pt idx="2">
                  <c:v>204.92999999999995</c:v>
                </c:pt>
                <c:pt idx="3">
                  <c:v>204.92999999999995</c:v>
                </c:pt>
                <c:pt idx="4">
                  <c:v>204.92999999999995</c:v>
                </c:pt>
                <c:pt idx="5">
                  <c:v>204.92999999999995</c:v>
                </c:pt>
                <c:pt idx="6">
                  <c:v>218.73</c:v>
                </c:pt>
                <c:pt idx="7">
                  <c:v>237.81999999999996</c:v>
                </c:pt>
                <c:pt idx="8">
                  <c:v>253.68999999999997</c:v>
                </c:pt>
              </c:numCache>
            </c:numRef>
          </c:val>
          <c:extLst>
            <c:ext xmlns:c16="http://schemas.microsoft.com/office/drawing/2014/chart" uri="{C3380CC4-5D6E-409C-BE32-E72D297353CC}">
              <c16:uniqueId val="{00000003-4CED-4D0D-AFCB-00347DAE85CA}"/>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3" name="Rectangle 2">
          <a:extLst>
            <a:ext uri="{FF2B5EF4-FFF2-40B4-BE49-F238E27FC236}">
              <a16:creationId xmlns:a16="http://schemas.microsoft.com/office/drawing/2014/main" id="{EC23FFC8-3E19-62C2-AC60-591B03F9F563}"/>
            </a:ext>
          </a:extLst>
        </xdr:cNvPr>
        <xdr:cNvSpPr/>
      </xdr:nvSpPr>
      <xdr:spPr>
        <a:xfrm>
          <a:off x="114300" y="57150"/>
          <a:ext cx="15240000" cy="76200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800">
              <a:solidFill>
                <a:schemeClr val="bg1"/>
              </a:solidFill>
            </a:rPr>
            <a:t>COFFEE SALES DASHBOARD</a:t>
          </a:r>
        </a:p>
      </xdr:txBody>
    </xdr:sp>
    <xdr:clientData/>
  </xdr:twoCellAnchor>
  <xdr:twoCellAnchor>
    <xdr:from>
      <xdr:col>1</xdr:col>
      <xdr:colOff>0</xdr:colOff>
      <xdr:row>17</xdr:row>
      <xdr:rowOff>0</xdr:rowOff>
    </xdr:from>
    <xdr:to>
      <xdr:col>15</xdr:col>
      <xdr:colOff>0</xdr:colOff>
      <xdr:row>40</xdr:row>
      <xdr:rowOff>0</xdr:rowOff>
    </xdr:to>
    <xdr:graphicFrame macro="">
      <xdr:nvGraphicFramePr>
        <xdr:cNvPr id="4" name="Chart 3">
          <a:extLst>
            <a:ext uri="{FF2B5EF4-FFF2-40B4-BE49-F238E27FC236}">
              <a16:creationId xmlns:a16="http://schemas.microsoft.com/office/drawing/2014/main" id="{53D884C8-59E1-4B02-9087-80514B11B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18</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DC39D381-03DF-4942-A151-DE9F3D1E3DA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300" y="876300"/>
              <a:ext cx="9867900" cy="177165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19</xdr:col>
      <xdr:colOff>0</xdr:colOff>
      <xdr:row>11</xdr:row>
      <xdr:rowOff>0</xdr:rowOff>
    </xdr:from>
    <xdr:to>
      <xdr:col>22</xdr:col>
      <xdr:colOff>0</xdr:colOff>
      <xdr:row>16</xdr:row>
      <xdr:rowOff>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4FB0DC4E-C556-402D-8DB6-EFF02CBCF50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96500" y="1695450"/>
              <a:ext cx="18288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0</xdr:colOff>
      <xdr:row>10</xdr:row>
      <xdr:rowOff>0</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506E0D51-CE1B-4EC3-8719-2AF0D127AA3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096500" y="876300"/>
              <a:ext cx="3771900" cy="762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26</xdr:col>
      <xdr:colOff>0</xdr:colOff>
      <xdr:row>16</xdr:row>
      <xdr:rowOff>9525</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6272C175-CA9E-4CE9-8549-226D2362A92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39600" y="1695450"/>
              <a:ext cx="1828800" cy="962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17</xdr:row>
      <xdr:rowOff>0</xdr:rowOff>
    </xdr:from>
    <xdr:to>
      <xdr:col>26</xdr:col>
      <xdr:colOff>0</xdr:colOff>
      <xdr:row>27</xdr:row>
      <xdr:rowOff>19050</xdr:rowOff>
    </xdr:to>
    <xdr:graphicFrame macro="">
      <xdr:nvGraphicFramePr>
        <xdr:cNvPr id="9" name="Chart 8">
          <a:extLst>
            <a:ext uri="{FF2B5EF4-FFF2-40B4-BE49-F238E27FC236}">
              <a16:creationId xmlns:a16="http://schemas.microsoft.com/office/drawing/2014/main" id="{1395EA26-B74E-43E8-89F1-EAE12CA6F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114298</xdr:colOff>
      <xdr:row>27</xdr:row>
      <xdr:rowOff>95250</xdr:rowOff>
    </xdr:from>
    <xdr:to>
      <xdr:col>25</xdr:col>
      <xdr:colOff>609599</xdr:colOff>
      <xdr:row>40</xdr:row>
      <xdr:rowOff>0</xdr:rowOff>
    </xdr:to>
    <xdr:graphicFrame macro="">
      <xdr:nvGraphicFramePr>
        <xdr:cNvPr id="10" name="Chart 9">
          <a:extLst>
            <a:ext uri="{FF2B5EF4-FFF2-40B4-BE49-F238E27FC236}">
              <a16:creationId xmlns:a16="http://schemas.microsoft.com/office/drawing/2014/main" id="{E244744D-57B6-4E4D-971C-4097884BA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 Chen" refreshedDate="45109.440718287035" createdVersion="8" refreshedVersion="8" minRefreshableVersion="3" recordCount="1000" xr:uid="{D4ABC68F-C6FA-4D15-A327-D619052F2CA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54036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64AD82-DFDF-4297-8147-CC4B779F6323}"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h="1" x="3"/>
        <item h="1" x="1"/>
        <item h="1"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3"/>
  </dataFields>
  <chartFormats count="4">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00AADA-6F69-4A34-8BAC-737935386800}"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h="1" x="3"/>
        <item h="1" x="1"/>
        <item h="1"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1"/>
          </reference>
        </references>
      </pivotArea>
    </chartFormat>
    <chartFormat chart="7" format="10">
      <pivotArea type="data" outline="0" fieldPosition="0">
        <references count="2">
          <reference field="4294967294" count="1" selected="0">
            <x v="0"/>
          </reference>
          <reference field="7" count="1" selected="0">
            <x v="0"/>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C9B86B-0755-4E9C-B950-23AE01E6FCEB}"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B12"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h="1" x="3"/>
        <item h="1" x="1"/>
        <item h="1"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9">
    <i>
      <x v="289"/>
    </i>
    <i>
      <x v="518"/>
    </i>
    <i>
      <x v="826"/>
    </i>
    <i>
      <x v="639"/>
    </i>
    <i>
      <x v="218"/>
    </i>
    <i>
      <x v="785"/>
    </i>
    <i>
      <x v="20"/>
    </i>
    <i>
      <x v="28"/>
    </i>
    <i>
      <x v="125"/>
    </i>
  </rowItems>
  <colItems count="1">
    <i/>
  </colItems>
  <dataFields count="1">
    <dataField name="Sum of Sales" fld="12" baseField="7" baseItem="0" numFmtId="168"/>
  </dataFields>
  <chartFormats count="5">
    <chartFormat chart="2" format="8"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E831491-5ABF-4CEB-B30A-4B026292506B}" sourceName="Size">
  <pivotTables>
    <pivotTable tabId="18" name="TotalSales"/>
    <pivotTable tabId="21" name="TotalSales"/>
    <pivotTable tabId="22" name="TotalSales"/>
  </pivotTables>
  <data>
    <tabular pivotCacheId="1454036779">
      <items count="4">
        <i x="3"/>
        <i x="1"/>
        <i x="0"/>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B546FA4-CF69-4363-8BAC-A711E0960B8D}" sourceName="Roast Type Name">
  <pivotTables>
    <pivotTable tabId="18" name="TotalSales"/>
    <pivotTable tabId="21" name="TotalSales"/>
    <pivotTable tabId="22" name="TotalSales"/>
  </pivotTables>
  <data>
    <tabular pivotCacheId="145403677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F434943-EF5E-4941-A7CB-AE0C370602FD}" sourceName="Loyalty Card">
  <pivotTables>
    <pivotTable tabId="18" name="TotalSales"/>
    <pivotTable tabId="21" name="TotalSales"/>
    <pivotTable tabId="22" name="TotalSales"/>
  </pivotTables>
  <data>
    <tabular pivotCacheId="14540367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C9695A7-288A-470E-BCE4-9C4A3CA6A8F6}" cache="Slicer_Size" caption="Size" columnCount="2" rowHeight="241300"/>
  <slicer name="Roast Type Name" xr10:uid="{C0AED784-DA7C-4BAE-B020-67A14ACDCCF8}" cache="Slicer_Roast_Type_Name" caption="Roast Type Name" columnCount="3" rowHeight="241300"/>
  <slicer name="Loyalty Card" xr10:uid="{587040DF-39A0-4B0E-BB73-DB74C34D4C4F}"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C2A6E8-7DB2-480F-AD81-055F571EC146}" name="Orders" displayName="Orders" ref="A1:P1001" totalsRowShown="0" headerRowDxfId="11">
  <autoFilter ref="A1:P1001" xr:uid="{E5C2A6E8-7DB2-480F-AD81-055F571EC146}"/>
  <tableColumns count="16">
    <tableColumn id="1" xr3:uid="{DF30AE40-CAC9-4CD6-8754-CA6F7DC4C264}" name="Order ID" dataDxfId="10"/>
    <tableColumn id="2" xr3:uid="{0FB86E5A-6C51-432D-A17E-0901CC53EE61}" name="Order Date" dataDxfId="9"/>
    <tableColumn id="3" xr3:uid="{6C74A95E-485F-4590-AF41-00AFC81615F8}" name="Customer ID" dataDxfId="8"/>
    <tableColumn id="4" xr3:uid="{8B6E52FD-9715-4EF4-81BB-FD1E72DBABEC}" name="Product ID"/>
    <tableColumn id="5" xr3:uid="{CED1776B-7B0B-4EC5-9E4A-B04595C9D856}" name="Quantity" dataDxfId="7"/>
    <tableColumn id="6" xr3:uid="{198F269A-7BC7-459C-9A81-615CC0BE283C}" name="Customer Name" dataDxfId="6">
      <calculatedColumnFormula>_xlfn.XLOOKUP(C2,customers!$A$1:$A$1001,customers!$B$1:$B$1001,,0)</calculatedColumnFormula>
    </tableColumn>
    <tableColumn id="7" xr3:uid="{C2352FC7-EA52-4933-B8A7-2FCB448D8F4A}" name="Email" dataDxfId="5">
      <calculatedColumnFormula>IF(_xlfn.XLOOKUP(C2,customers!$A$1:$A$1001,customers!$C$1:$C$1001,,0)=0,"",_xlfn.XLOOKUP(C2,customers!$A$1:$A$1001,customers!$C$1:$C$1001,,0))</calculatedColumnFormula>
    </tableColumn>
    <tableColumn id="8" xr3:uid="{F74E6C7D-8C12-43D7-B377-F6D4BE04DCCE}" name="Country" dataDxfId="4">
      <calculatedColumnFormula>_xlfn.XLOOKUP(C2,customers!$A$1:$A$1001,customers!$G$1:$G$1001,,0)</calculatedColumnFormula>
    </tableColumn>
    <tableColumn id="9" xr3:uid="{2E3AF4D2-D695-45E3-A48B-5672A873BDDB}" name="Coffee Type">
      <calculatedColumnFormula>INDEX(products!$A$1:$G$49,MATCH(orders!$D2,products!$A$1:$A$49,0),MATCH(orders!I$1,products!$A$1:$G$1,0))</calculatedColumnFormula>
    </tableColumn>
    <tableColumn id="10" xr3:uid="{D2C0EF1E-82FE-4C3D-A011-C22F671A0DC3}" name="Roast Type">
      <calculatedColumnFormula>INDEX(products!$A$1:$G$49,MATCH(orders!$D2,products!$A$1:$A$49,0),MATCH(orders!J$1,products!$A$1:$G$1,0))</calculatedColumnFormula>
    </tableColumn>
    <tableColumn id="11" xr3:uid="{E5C9AC81-84C0-48CE-A87A-1B0B2BDEBCFD}" name="Size" dataDxfId="3">
      <calculatedColumnFormula>INDEX(products!$A$1:$G$49,MATCH(orders!$D2,products!$A$1:$A$49,0),MATCH(orders!K$1,products!$A$1:$G$1,0))</calculatedColumnFormula>
    </tableColumn>
    <tableColumn id="12" xr3:uid="{CB2F1618-A3EA-40D0-A357-8FB1FA821B57}" name="Unit Price" dataDxfId="2">
      <calculatedColumnFormula>INDEX(products!$A$1:$G$49,MATCH(orders!$D2,products!$A$1:$A$49,0),MATCH(orders!L$1,products!$A$1:$G$1,0))</calculatedColumnFormula>
    </tableColumn>
    <tableColumn id="13" xr3:uid="{9DBCF243-C20A-4FB7-B13C-A2976EA47F95}" name="Sales" dataDxfId="1">
      <calculatedColumnFormula>L2*E2</calculatedColumnFormula>
    </tableColumn>
    <tableColumn id="14" xr3:uid="{15194FC8-28B6-4810-9CD3-BD15351D6DA5}" name="Coffee Type Name">
      <calculatedColumnFormula>IF(I2="Rob","Robusta",IF(I2="Exc","Excelsa",IF(I2="Ara","Arabica",IF(I2="Lib","Liberica",""))))</calculatedColumnFormula>
    </tableColumn>
    <tableColumn id="15" xr3:uid="{5C416F77-012F-48E4-8261-C171EFF861C6}" name="Roast Type Name">
      <calculatedColumnFormula>IF(J2="M","Medium",IF(J2="L","Light",IF(J2="D","Dark","")))</calculatedColumnFormula>
    </tableColumn>
    <tableColumn id="16" xr3:uid="{BC9778B6-9315-4CBA-A5C4-7C6CE4AEEC81}"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6A383C0-538A-4085-BDFA-1C1382ACAB86}" sourceName="Order Date">
  <pivotTables>
    <pivotTable tabId="18" name="TotalSales"/>
    <pivotTable tabId="21" name="TotalSales"/>
    <pivotTable tabId="22" name="TotalSales"/>
  </pivotTables>
  <state minimalRefreshVersion="6" lastRefreshVersion="6" pivotCacheId="145403677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3936CFA-AF2E-401B-8D9C-B08906320623}"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AA65D-6F96-492B-9B49-9279D1144F91}">
  <dimension ref="A1:A17"/>
  <sheetViews>
    <sheetView showGridLines="0" tabSelected="1" zoomScale="78" workbookViewId="0">
      <selection activeCell="AA25" sqref="AA25"/>
    </sheetView>
  </sheetViews>
  <sheetFormatPr defaultRowHeight="14.4" x14ac:dyDescent="0.3"/>
  <cols>
    <col min="1" max="1" width="1.6640625" customWidth="1"/>
    <col min="16" max="16" width="1.6640625" customWidth="1"/>
    <col min="19" max="19" width="1.6640625" customWidth="1"/>
    <col min="23" max="23" width="1.6640625" customWidth="1"/>
  </cols>
  <sheetData>
    <row r="1" ht="5.0999999999999996" customHeight="1" x14ac:dyDescent="0.3"/>
    <row r="6" ht="5.0999999999999996" customHeight="1" x14ac:dyDescent="0.3"/>
    <row r="11" ht="5.0999999999999996" customHeight="1" x14ac:dyDescent="0.3"/>
    <row r="17" ht="5.0999999999999996"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0E01-5602-4697-9EC9-F41355B0C172}">
  <dimension ref="A3:F48"/>
  <sheetViews>
    <sheetView workbookViewId="0">
      <selection activeCell="G36" sqref="G36"/>
    </sheetView>
  </sheetViews>
  <sheetFormatPr defaultRowHeight="14.4" x14ac:dyDescent="0.3"/>
  <cols>
    <col min="1" max="1" width="13.109375" bestFit="1" customWidth="1"/>
    <col min="2" max="2" width="20.88671875" bestFit="1" customWidth="1"/>
    <col min="3" max="3" width="18.88671875" bestFit="1" customWidth="1"/>
    <col min="4" max="4" width="7" bestFit="1" customWidth="1"/>
    <col min="5" max="5" width="7.44140625" bestFit="1" customWidth="1"/>
    <col min="6" max="6" width="7.88671875" bestFit="1" customWidth="1"/>
  </cols>
  <sheetData>
    <row r="3" spans="1:6" x14ac:dyDescent="0.3">
      <c r="A3" s="6" t="s">
        <v>6214</v>
      </c>
      <c r="C3" s="6" t="s">
        <v>6196</v>
      </c>
    </row>
    <row r="4" spans="1:6" x14ac:dyDescent="0.3">
      <c r="A4" s="6" t="s">
        <v>6208</v>
      </c>
      <c r="B4" s="6" t="s">
        <v>6209</v>
      </c>
      <c r="C4" t="s">
        <v>6210</v>
      </c>
      <c r="D4" t="s">
        <v>6211</v>
      </c>
      <c r="E4" t="s">
        <v>6212</v>
      </c>
      <c r="F4" t="s">
        <v>6213</v>
      </c>
    </row>
    <row r="5" spans="1:6" x14ac:dyDescent="0.3">
      <c r="A5" t="s">
        <v>6198</v>
      </c>
      <c r="B5" t="s">
        <v>6199</v>
      </c>
      <c r="C5" s="7">
        <v>68.655000000000001</v>
      </c>
      <c r="D5" s="7">
        <v>111.78</v>
      </c>
      <c r="E5" s="7">
        <v>36.454999999999998</v>
      </c>
      <c r="F5" s="7"/>
    </row>
    <row r="6" spans="1:6" x14ac:dyDescent="0.3">
      <c r="B6" t="s">
        <v>6200</v>
      </c>
      <c r="C6" s="7">
        <v>148.92499999999998</v>
      </c>
      <c r="D6" s="7"/>
      <c r="E6" s="7">
        <v>271.74499999999995</v>
      </c>
      <c r="F6" s="7">
        <v>41.169999999999995</v>
      </c>
    </row>
    <row r="7" spans="1:6" x14ac:dyDescent="0.3">
      <c r="B7" t="s">
        <v>6201</v>
      </c>
      <c r="C7" s="7">
        <v>137.19499999999999</v>
      </c>
      <c r="D7" s="7">
        <v>230.92000000000002</v>
      </c>
      <c r="E7" s="7">
        <v>133.85999999999999</v>
      </c>
      <c r="F7" s="7"/>
    </row>
    <row r="8" spans="1:6" x14ac:dyDescent="0.3">
      <c r="B8" t="s">
        <v>6202</v>
      </c>
      <c r="C8" s="7">
        <v>155.24999999999997</v>
      </c>
      <c r="D8" s="7">
        <v>512.32499999999993</v>
      </c>
      <c r="E8" s="7">
        <v>316.13499999999999</v>
      </c>
      <c r="F8" s="7">
        <v>54.969999999999992</v>
      </c>
    </row>
    <row r="9" spans="1:6" x14ac:dyDescent="0.3">
      <c r="B9" t="s">
        <v>6203</v>
      </c>
      <c r="C9" s="7">
        <v>29.784999999999997</v>
      </c>
      <c r="D9" s="7"/>
      <c r="E9" s="7">
        <v>145.82</v>
      </c>
      <c r="F9" s="7"/>
    </row>
    <row r="10" spans="1:6" x14ac:dyDescent="0.3">
      <c r="B10" t="s">
        <v>6217</v>
      </c>
      <c r="C10" s="7">
        <v>155.24999999999997</v>
      </c>
      <c r="D10" s="7">
        <v>626.17499999999995</v>
      </c>
      <c r="E10" s="7">
        <v>89.35499999999999</v>
      </c>
      <c r="F10" s="7">
        <v>219.76499999999999</v>
      </c>
    </row>
    <row r="11" spans="1:6" x14ac:dyDescent="0.3">
      <c r="B11" t="s">
        <v>6218</v>
      </c>
      <c r="C11" s="7">
        <v>272.43499999999995</v>
      </c>
      <c r="D11" s="7">
        <v>204.92999999999995</v>
      </c>
      <c r="E11" s="7"/>
      <c r="F11" s="7">
        <v>123.50999999999999</v>
      </c>
    </row>
    <row r="12" spans="1:6" x14ac:dyDescent="0.3">
      <c r="B12" t="s">
        <v>6215</v>
      </c>
      <c r="C12" s="7">
        <v>226.54999999999995</v>
      </c>
      <c r="D12" s="7"/>
      <c r="E12" s="7"/>
      <c r="F12" s="7">
        <v>68.655000000000001</v>
      </c>
    </row>
    <row r="13" spans="1:6" x14ac:dyDescent="0.3">
      <c r="B13" t="s">
        <v>6216</v>
      </c>
      <c r="C13" s="7">
        <v>178.70999999999998</v>
      </c>
      <c r="D13" s="7"/>
      <c r="E13" s="7">
        <v>273.69999999999993</v>
      </c>
      <c r="F13" s="7">
        <v>361.55999999999995</v>
      </c>
    </row>
    <row r="14" spans="1:6" x14ac:dyDescent="0.3">
      <c r="B14" t="s">
        <v>6204</v>
      </c>
      <c r="C14" s="7">
        <v>100.50999999999999</v>
      </c>
      <c r="D14" s="7">
        <v>96.254999999999995</v>
      </c>
      <c r="E14" s="7">
        <v>109.36499999999999</v>
      </c>
      <c r="F14" s="7"/>
    </row>
    <row r="15" spans="1:6" x14ac:dyDescent="0.3">
      <c r="B15" t="s">
        <v>6205</v>
      </c>
      <c r="C15" s="7">
        <v>178.70999999999998</v>
      </c>
      <c r="D15" s="7">
        <v>63.249999999999993</v>
      </c>
      <c r="E15" s="7">
        <v>272.32</v>
      </c>
      <c r="F15" s="7"/>
    </row>
    <row r="16" spans="1:6" x14ac:dyDescent="0.3">
      <c r="B16" t="s">
        <v>6206</v>
      </c>
      <c r="C16" s="7">
        <v>155.24999999999997</v>
      </c>
      <c r="D16" s="7">
        <v>444.01499999999987</v>
      </c>
      <c r="E16" s="7"/>
      <c r="F16" s="7">
        <v>130.52499999999998</v>
      </c>
    </row>
    <row r="17" spans="1:6" x14ac:dyDescent="0.3">
      <c r="A17" t="s">
        <v>6207</v>
      </c>
      <c r="B17" t="s">
        <v>6199</v>
      </c>
      <c r="C17" s="7"/>
      <c r="D17" s="7"/>
      <c r="E17" s="7">
        <v>189.05999999999997</v>
      </c>
      <c r="F17" s="7">
        <v>27.484999999999996</v>
      </c>
    </row>
    <row r="18" spans="1:6" x14ac:dyDescent="0.3">
      <c r="B18" t="s">
        <v>6200</v>
      </c>
      <c r="C18" s="7">
        <v>678.38499999999999</v>
      </c>
      <c r="D18" s="7">
        <v>227.24</v>
      </c>
      <c r="E18" s="7">
        <v>89.35499999999999</v>
      </c>
      <c r="F18" s="7">
        <v>357.30499999999995</v>
      </c>
    </row>
    <row r="19" spans="1:6" x14ac:dyDescent="0.3">
      <c r="B19" t="s">
        <v>6201</v>
      </c>
      <c r="C19" s="7"/>
      <c r="D19" s="7">
        <v>62.099999999999994</v>
      </c>
      <c r="E19" s="7">
        <v>148.92499999999998</v>
      </c>
      <c r="F19" s="7">
        <v>137.31</v>
      </c>
    </row>
    <row r="20" spans="1:6" x14ac:dyDescent="0.3">
      <c r="B20" t="s">
        <v>6202</v>
      </c>
      <c r="C20" s="7"/>
      <c r="D20" s="7">
        <v>252.99999999999997</v>
      </c>
      <c r="E20" s="7">
        <v>33.464999999999996</v>
      </c>
      <c r="F20" s="7">
        <v>196.76499999999999</v>
      </c>
    </row>
    <row r="21" spans="1:6" x14ac:dyDescent="0.3">
      <c r="B21" t="s">
        <v>6203</v>
      </c>
      <c r="C21" s="7">
        <v>77.624999999999986</v>
      </c>
      <c r="D21" s="7">
        <v>472.88</v>
      </c>
      <c r="E21" s="7">
        <v>33.464999999999996</v>
      </c>
      <c r="F21" s="7">
        <v>41.169999999999995</v>
      </c>
    </row>
    <row r="22" spans="1:6" x14ac:dyDescent="0.3">
      <c r="B22" t="s">
        <v>6217</v>
      </c>
      <c r="C22" s="7">
        <v>473.33999999999992</v>
      </c>
      <c r="D22" s="7">
        <v>165.71499999999997</v>
      </c>
      <c r="E22" s="7">
        <v>192.04999999999998</v>
      </c>
      <c r="F22" s="7">
        <v>132.82499999999999</v>
      </c>
    </row>
    <row r="23" spans="1:6" x14ac:dyDescent="0.3">
      <c r="B23" t="s">
        <v>6218</v>
      </c>
      <c r="C23" s="7">
        <v>297.84999999999997</v>
      </c>
      <c r="D23" s="7">
        <v>31.624999999999996</v>
      </c>
      <c r="E23" s="7">
        <v>36.454999999999998</v>
      </c>
      <c r="F23" s="7">
        <v>247.01999999999995</v>
      </c>
    </row>
    <row r="24" spans="1:6" x14ac:dyDescent="0.3">
      <c r="B24" t="s">
        <v>6215</v>
      </c>
      <c r="C24" s="7"/>
      <c r="D24" s="7"/>
      <c r="E24" s="7"/>
      <c r="F24" s="7">
        <v>41.169999999999995</v>
      </c>
    </row>
    <row r="25" spans="1:6" x14ac:dyDescent="0.3">
      <c r="B25" t="s">
        <v>6216</v>
      </c>
      <c r="C25" s="7">
        <v>91.539999999999992</v>
      </c>
      <c r="D25" s="7"/>
      <c r="E25" s="7"/>
      <c r="F25" s="7">
        <v>155.70999999999998</v>
      </c>
    </row>
    <row r="26" spans="1:6" x14ac:dyDescent="0.3">
      <c r="B26" t="s">
        <v>6204</v>
      </c>
      <c r="C26" s="7">
        <v>198.02999999999997</v>
      </c>
      <c r="D26" s="7">
        <v>254.60999999999999</v>
      </c>
      <c r="E26" s="7">
        <v>238.27999999999997</v>
      </c>
      <c r="F26" s="7">
        <v>109.93999999999998</v>
      </c>
    </row>
    <row r="27" spans="1:6" x14ac:dyDescent="0.3">
      <c r="B27" t="s">
        <v>6205</v>
      </c>
      <c r="C27" s="7">
        <v>476.32999999999993</v>
      </c>
      <c r="D27" s="7">
        <v>111.78</v>
      </c>
      <c r="E27" s="7">
        <v>228.505</v>
      </c>
      <c r="F27" s="7">
        <v>27.484999999999996</v>
      </c>
    </row>
    <row r="28" spans="1:6" x14ac:dyDescent="0.3">
      <c r="B28" t="s">
        <v>6206</v>
      </c>
      <c r="C28" s="7"/>
      <c r="D28" s="7">
        <v>171.35</v>
      </c>
      <c r="E28" s="7"/>
      <c r="F28" s="7">
        <v>45.769999999999996</v>
      </c>
    </row>
    <row r="29" spans="1:6" x14ac:dyDescent="0.3">
      <c r="A29" t="s">
        <v>6219</v>
      </c>
      <c r="B29" t="s">
        <v>6199</v>
      </c>
      <c r="C29" s="7">
        <v>77.624999999999986</v>
      </c>
      <c r="D29" s="7">
        <v>31.624999999999996</v>
      </c>
      <c r="E29" s="7">
        <v>29.784999999999997</v>
      </c>
      <c r="F29" s="7">
        <v>91.539999999999992</v>
      </c>
    </row>
    <row r="30" spans="1:6" x14ac:dyDescent="0.3">
      <c r="B30" t="s">
        <v>6200</v>
      </c>
      <c r="C30" s="7">
        <v>217.92499999999995</v>
      </c>
      <c r="D30" s="7">
        <v>139.72499999999999</v>
      </c>
      <c r="E30" s="7">
        <v>139.83999999999997</v>
      </c>
      <c r="F30" s="7"/>
    </row>
    <row r="31" spans="1:6" x14ac:dyDescent="0.3">
      <c r="B31" t="s">
        <v>6201</v>
      </c>
      <c r="C31" s="7">
        <v>268.06499999999994</v>
      </c>
      <c r="D31" s="7">
        <v>194.80999999999997</v>
      </c>
      <c r="E31" s="7">
        <v>228.505</v>
      </c>
      <c r="F31" s="7"/>
    </row>
    <row r="32" spans="1:6" x14ac:dyDescent="0.3">
      <c r="B32" t="s">
        <v>6202</v>
      </c>
      <c r="C32" s="7"/>
      <c r="D32" s="7">
        <v>147.08500000000001</v>
      </c>
      <c r="E32" s="7">
        <v>401.005</v>
      </c>
      <c r="F32" s="7">
        <v>82.339999999999989</v>
      </c>
    </row>
    <row r="33" spans="1:6" x14ac:dyDescent="0.3">
      <c r="B33" t="s">
        <v>6203</v>
      </c>
      <c r="C33" s="7">
        <v>103.49999999999999</v>
      </c>
      <c r="D33" s="7"/>
      <c r="E33" s="7">
        <v>148.92499999999998</v>
      </c>
      <c r="F33" s="7">
        <v>192.39499999999995</v>
      </c>
    </row>
    <row r="34" spans="1:6" x14ac:dyDescent="0.3">
      <c r="B34" t="s">
        <v>6217</v>
      </c>
      <c r="C34" s="7">
        <v>240.80999999999997</v>
      </c>
      <c r="D34" s="7"/>
      <c r="E34" s="7">
        <v>148.92499999999998</v>
      </c>
      <c r="F34" s="7">
        <v>61.754999999999995</v>
      </c>
    </row>
    <row r="35" spans="1:6" x14ac:dyDescent="0.3">
      <c r="B35" t="s">
        <v>6218</v>
      </c>
      <c r="C35" s="7"/>
      <c r="D35" s="7">
        <v>189.74999999999997</v>
      </c>
      <c r="E35" s="7"/>
      <c r="F35" s="7">
        <v>109.93999999999998</v>
      </c>
    </row>
    <row r="36" spans="1:6" x14ac:dyDescent="0.3">
      <c r="B36" t="s">
        <v>6215</v>
      </c>
      <c r="C36" s="7">
        <v>141.10499999999999</v>
      </c>
      <c r="D36" s="7">
        <v>111.78</v>
      </c>
      <c r="E36" s="7"/>
      <c r="F36" s="7">
        <v>196.76499999999999</v>
      </c>
    </row>
    <row r="37" spans="1:6" x14ac:dyDescent="0.3">
      <c r="B37" t="s">
        <v>6216</v>
      </c>
      <c r="C37" s="7">
        <v>629.27999999999986</v>
      </c>
      <c r="D37" s="7">
        <v>83.835000000000008</v>
      </c>
      <c r="E37" s="7"/>
      <c r="F37" s="7">
        <v>109.93999999999998</v>
      </c>
    </row>
    <row r="38" spans="1:6" x14ac:dyDescent="0.3">
      <c r="B38" t="s">
        <v>6204</v>
      </c>
      <c r="C38" s="7">
        <v>166.17499999999998</v>
      </c>
      <c r="D38" s="7">
        <v>187.45</v>
      </c>
      <c r="E38" s="7">
        <v>251.61999999999998</v>
      </c>
      <c r="F38" s="7">
        <v>91.539999999999992</v>
      </c>
    </row>
    <row r="39" spans="1:6" x14ac:dyDescent="0.3">
      <c r="B39" t="s">
        <v>6205</v>
      </c>
      <c r="C39" s="7">
        <v>137.31</v>
      </c>
      <c r="D39" s="7">
        <v>297.84999999999997</v>
      </c>
      <c r="E39" s="7">
        <v>119.13999999999999</v>
      </c>
      <c r="F39" s="7">
        <v>68.655000000000001</v>
      </c>
    </row>
    <row r="40" spans="1:6" x14ac:dyDescent="0.3">
      <c r="B40" t="s">
        <v>6206</v>
      </c>
      <c r="C40" s="7">
        <v>178.70999999999998</v>
      </c>
      <c r="D40" s="7"/>
      <c r="E40" s="7">
        <v>212.75</v>
      </c>
      <c r="F40" s="7">
        <v>137.42499999999998</v>
      </c>
    </row>
    <row r="41" spans="1:6" x14ac:dyDescent="0.3">
      <c r="A41" t="s">
        <v>6220</v>
      </c>
      <c r="B41" t="s">
        <v>6199</v>
      </c>
      <c r="C41" s="7">
        <v>51.749999999999993</v>
      </c>
      <c r="D41" s="7"/>
      <c r="E41" s="7">
        <v>625.71499999999992</v>
      </c>
      <c r="F41" s="7">
        <v>45.769999999999996</v>
      </c>
    </row>
    <row r="42" spans="1:6" x14ac:dyDescent="0.3">
      <c r="B42" t="s">
        <v>6200</v>
      </c>
      <c r="C42" s="7"/>
      <c r="D42" s="7">
        <v>55.89</v>
      </c>
      <c r="E42" s="7">
        <v>36.454999999999998</v>
      </c>
      <c r="F42" s="7"/>
    </row>
    <row r="43" spans="1:6" x14ac:dyDescent="0.3">
      <c r="B43" t="s">
        <v>6201</v>
      </c>
      <c r="C43" s="7">
        <v>148.92499999999998</v>
      </c>
      <c r="D43" s="7">
        <v>102.46499999999997</v>
      </c>
      <c r="E43" s="7">
        <v>296.125</v>
      </c>
      <c r="F43" s="7">
        <v>288.4199999999999</v>
      </c>
    </row>
    <row r="44" spans="1:6" x14ac:dyDescent="0.3">
      <c r="B44" t="s">
        <v>6202</v>
      </c>
      <c r="C44" s="7">
        <v>51.749999999999993</v>
      </c>
      <c r="D44" s="7">
        <v>164.56499999999997</v>
      </c>
      <c r="E44" s="7"/>
      <c r="F44" s="7">
        <v>102.92499999999998</v>
      </c>
    </row>
    <row r="45" spans="1:6" x14ac:dyDescent="0.3">
      <c r="B45" t="s">
        <v>6203</v>
      </c>
      <c r="C45" s="7">
        <v>71.644999999999996</v>
      </c>
      <c r="D45" s="7">
        <v>126.49999999999999</v>
      </c>
      <c r="E45" s="7">
        <v>163.64499999999998</v>
      </c>
      <c r="F45" s="7">
        <v>164.67999999999998</v>
      </c>
    </row>
    <row r="46" spans="1:6" x14ac:dyDescent="0.3">
      <c r="B46" t="s">
        <v>6217</v>
      </c>
      <c r="C46" s="7"/>
      <c r="D46" s="7">
        <v>359.37499999999994</v>
      </c>
      <c r="E46" s="7">
        <v>145.82</v>
      </c>
      <c r="F46" s="7">
        <v>308.89</v>
      </c>
    </row>
    <row r="47" spans="1:6" x14ac:dyDescent="0.3">
      <c r="B47" t="s">
        <v>6218</v>
      </c>
      <c r="C47" s="7">
        <v>195.95999999999998</v>
      </c>
      <c r="D47" s="7">
        <v>158.12499999999997</v>
      </c>
      <c r="E47" s="7">
        <v>178.70999999999998</v>
      </c>
      <c r="F47" s="7">
        <v>45.769999999999996</v>
      </c>
    </row>
    <row r="48" spans="1:6" x14ac:dyDescent="0.3">
      <c r="B48" t="s">
        <v>6215</v>
      </c>
      <c r="C48" s="7">
        <v>29.784999999999997</v>
      </c>
      <c r="D48" s="7"/>
      <c r="E48" s="7"/>
      <c r="F48"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C7238-8991-42C7-BE08-B08F7604E70E}">
  <dimension ref="A3:B6"/>
  <sheetViews>
    <sheetView workbookViewId="0">
      <selection activeCell="F34" sqref="F34"/>
    </sheetView>
  </sheetViews>
  <sheetFormatPr defaultRowHeight="14.4" x14ac:dyDescent="0.3"/>
  <cols>
    <col min="1" max="1" width="14" bestFit="1" customWidth="1"/>
    <col min="2" max="2" width="11.6640625" bestFit="1" customWidth="1"/>
    <col min="3" max="3" width="7.44140625" bestFit="1" customWidth="1"/>
    <col min="4" max="4" width="7.88671875" bestFit="1" customWidth="1"/>
    <col min="5" max="6" width="8.109375" bestFit="1" customWidth="1"/>
  </cols>
  <sheetData>
    <row r="3" spans="1:2" x14ac:dyDescent="0.3">
      <c r="A3" s="6" t="s">
        <v>7</v>
      </c>
      <c r="B3" t="s">
        <v>6214</v>
      </c>
    </row>
    <row r="4" spans="1:2" x14ac:dyDescent="0.3">
      <c r="A4" t="s">
        <v>28</v>
      </c>
      <c r="B4" s="8">
        <v>1173.92</v>
      </c>
    </row>
    <row r="5" spans="1:2" x14ac:dyDescent="0.3">
      <c r="A5" t="s">
        <v>318</v>
      </c>
      <c r="B5" s="8">
        <v>3570.29</v>
      </c>
    </row>
    <row r="6" spans="1:2" x14ac:dyDescent="0.3">
      <c r="A6" t="s">
        <v>19</v>
      </c>
      <c r="B6" s="8">
        <v>19041.354999999992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8607F-A049-4491-B08C-8CA24A36CD01}">
  <dimension ref="A3:B12"/>
  <sheetViews>
    <sheetView workbookViewId="0">
      <selection activeCell="R21" sqref="R21"/>
    </sheetView>
  </sheetViews>
  <sheetFormatPr defaultRowHeight="14.4" x14ac:dyDescent="0.3"/>
  <cols>
    <col min="1" max="1" width="16.88671875" bestFit="1" customWidth="1"/>
    <col min="2" max="2" width="11.6640625" bestFit="1" customWidth="1"/>
    <col min="3" max="3" width="7.44140625" bestFit="1" customWidth="1"/>
    <col min="4" max="4" width="7.88671875" bestFit="1" customWidth="1"/>
    <col min="5" max="6" width="8.109375" bestFit="1" customWidth="1"/>
  </cols>
  <sheetData>
    <row r="3" spans="1:2" x14ac:dyDescent="0.3">
      <c r="A3" s="6" t="s">
        <v>4</v>
      </c>
      <c r="B3" t="s">
        <v>6214</v>
      </c>
    </row>
    <row r="4" spans="1:2" x14ac:dyDescent="0.3">
      <c r="A4" t="s">
        <v>1472</v>
      </c>
      <c r="B4" s="8">
        <v>204.92999999999995</v>
      </c>
    </row>
    <row r="5" spans="1:2" x14ac:dyDescent="0.3">
      <c r="A5" t="s">
        <v>2177</v>
      </c>
      <c r="B5" s="8">
        <v>204.92999999999995</v>
      </c>
    </row>
    <row r="6" spans="1:2" x14ac:dyDescent="0.3">
      <c r="A6" t="s">
        <v>2046</v>
      </c>
      <c r="B6" s="8">
        <v>204.92999999999995</v>
      </c>
    </row>
    <row r="7" spans="1:2" x14ac:dyDescent="0.3">
      <c r="A7" t="s">
        <v>2275</v>
      </c>
      <c r="B7" s="8">
        <v>204.92999999999995</v>
      </c>
    </row>
    <row r="8" spans="1:2" x14ac:dyDescent="0.3">
      <c r="A8" t="s">
        <v>3820</v>
      </c>
      <c r="B8" s="8">
        <v>204.92999999999995</v>
      </c>
    </row>
    <row r="9" spans="1:2" x14ac:dyDescent="0.3">
      <c r="A9" t="s">
        <v>2454</v>
      </c>
      <c r="B9" s="8">
        <v>204.92999999999995</v>
      </c>
    </row>
    <row r="10" spans="1:2" x14ac:dyDescent="0.3">
      <c r="A10" t="s">
        <v>1386</v>
      </c>
      <c r="B10" s="8">
        <v>218.73</v>
      </c>
    </row>
    <row r="11" spans="1:2" x14ac:dyDescent="0.3">
      <c r="A11" t="s">
        <v>5114</v>
      </c>
      <c r="B11" s="8">
        <v>237.81999999999996</v>
      </c>
    </row>
    <row r="12" spans="1:2" x14ac:dyDescent="0.3">
      <c r="A12" t="s">
        <v>5765</v>
      </c>
      <c r="B12" s="8">
        <v>253.68999999999997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115" zoomScaleNormal="115" workbookViewId="0">
      <selection activeCell="N3" sqref="N3"/>
    </sheetView>
  </sheetViews>
  <sheetFormatPr defaultRowHeight="14.4" x14ac:dyDescent="0.3"/>
  <cols>
    <col min="1" max="1" width="16.5546875" bestFit="1" customWidth="1"/>
    <col min="2" max="2" width="13" bestFit="1" customWidth="1"/>
    <col min="3" max="3" width="17.44140625" bestFit="1" customWidth="1"/>
    <col min="4" max="4" width="12" customWidth="1"/>
    <col min="5" max="5" width="10.44140625" customWidth="1"/>
    <col min="6" max="6" width="23.6640625" bestFit="1" customWidth="1"/>
    <col min="7" max="7" width="39.44140625" bestFit="1" customWidth="1"/>
    <col min="8" max="8" width="12.88671875" bestFit="1" customWidth="1"/>
    <col min="9" max="9" width="13.109375" customWidth="1"/>
    <col min="10" max="10" width="12.44140625" customWidth="1"/>
    <col min="11" max="11" width="6.33203125" bestFit="1" customWidth="1"/>
    <col min="12" max="12" width="11.33203125" customWidth="1"/>
    <col min="13" max="13" width="10.5546875" customWidth="1"/>
    <col min="14" max="14" width="18.88671875" customWidth="1"/>
    <col min="15" max="15" width="18.109375" customWidth="1"/>
    <col min="16" max="16" width="14"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A2" sqref="A2"/>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15" zoomScaleNormal="115" workbookViewId="0">
      <selection activeCell="F2" sqref="F2"/>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brant marvel</cp:lastModifiedBy>
  <cp:revision/>
  <dcterms:created xsi:type="dcterms:W3CDTF">2022-11-26T09:51:45Z</dcterms:created>
  <dcterms:modified xsi:type="dcterms:W3CDTF">2026-04-17T15:56:47Z</dcterms:modified>
  <cp:category/>
  <cp:contentStatus/>
</cp:coreProperties>
</file>